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List" sheetId="1" r:id="rId5"/>
    <sheet state="visible" name="Top 250 Stocks" sheetId="2" r:id="rId6"/>
  </sheets>
  <definedNames/>
  <calcPr/>
</workbook>
</file>

<file path=xl/sharedStrings.xml><?xml version="1.0" encoding="utf-8"?>
<sst xmlns="http://schemas.openxmlformats.org/spreadsheetml/2006/main" count="272" uniqueCount="269">
  <si>
    <t>Stocks In Bull Run</t>
  </si>
  <si>
    <t>Stocks In Bear Run</t>
  </si>
  <si>
    <t>Stock Name</t>
  </si>
  <si>
    <t xml:space="preserve"> CMP</t>
  </si>
  <si>
    <t>% Diffarance 200 DMA</t>
  </si>
  <si>
    <t>Discloser:-</t>
  </si>
  <si>
    <t>Stocks given in automated sheets not considerd as my recommendations or research reports they selected automatically by formulas.</t>
  </si>
  <si>
    <t>I Mahesh Chander Kaushik, owner of this automated sheet is an existing research analyst and passed NISM certification for research analysts. I have also registered under SEBI(RESEARCH ANALYSTS) REGULATIONS, 2014 ( SEBI Registration Number INH 100000908 ) hereby disclose my financial interest in the subject companies and the nature of such financial interest:- 1 Me and my associates or relatives also using this sheet for selection of short term trading stocks, so my personal interest is included in all of these automated choosen stocks. 2. Me and my associates or relatives have not any actual/beneficial ownership of one percent or more securities of any companies recommended in this sheet. 3. Me and my associates or relatives have not any other material conflict of interest at the time of publication of the automated sheet. 4. Me and my associates or relatives have not received any type of compensation from the subject companies in the past twelve months. 5. I am not served as an officer, director, or employee of the subject companies. 6. I have been not engaged in the market-making activity for the subject companies.</t>
  </si>
  <si>
    <t>Disclaimer:-</t>
  </si>
  <si>
    <t>This sheet is not an advisory service to buy or sell. The contents of “this automated sheet” are only for educational purposes. No liability is accepted for any content in “this automated sheet.” The author is neither a registered stockbroker nor a registered advisor and does not give investment advice. His comments are an expression of opinion only and should not be construed in any manner whatsoever as recommendations to buy or sell a stock, option, future, bond, commodity, index, or any other financial instrument at any time. The author recommends that you consult with a qualified investment advisor, one licensed by appropriate regulatory agencies in your legal jurisdiction, before making any investment decisions. Please read the full disclaimer at the bottom of my blog.</t>
  </si>
  <si>
    <t>Data Accuracy Warning:-</t>
  </si>
  <si>
    <t>This sheet is updated automatically by google finance and data of sheet may be delayed or wrong  so before making any decison please re check all data on NSE  BSE website</t>
  </si>
  <si>
    <t>NSECode</t>
  </si>
  <si>
    <t>CMP</t>
  </si>
  <si>
    <t>50 DMA</t>
  </si>
  <si>
    <t>100 DMA</t>
  </si>
  <si>
    <t>200 DMA</t>
  </si>
  <si>
    <t>Output</t>
  </si>
  <si>
    <t>Differance from 200 DMA</t>
  </si>
  <si>
    <t>NSE:DIXON</t>
  </si>
  <si>
    <t>NSE:GODFRYPHLP</t>
  </si>
  <si>
    <t>NSE:ENRIN</t>
  </si>
  <si>
    <t>NSE:SJVN</t>
  </si>
  <si>
    <t>NSE:PAGEIND</t>
  </si>
  <si>
    <t>NSE:BAJAJHFL</t>
  </si>
  <si>
    <t>NSE:TRENT</t>
  </si>
  <si>
    <t>NSE:PREMIERENE</t>
  </si>
  <si>
    <t>NSE:UBL</t>
  </si>
  <si>
    <t>NSE:LODHA</t>
  </si>
  <si>
    <t>NSE:JUBLFOOD</t>
  </si>
  <si>
    <t>NSE:MAZDOCK</t>
  </si>
  <si>
    <t>NSE:GLAXO</t>
  </si>
  <si>
    <t>NSE:NIACL</t>
  </si>
  <si>
    <t>NSE:KPRMILL</t>
  </si>
  <si>
    <t>NSE:PIIND</t>
  </si>
  <si>
    <t>NSE:SOLARINDS</t>
  </si>
  <si>
    <t>NSE:CRISIL</t>
  </si>
  <si>
    <t>NSE:TMPV</t>
  </si>
  <si>
    <t>NSE:SUPREMEIND</t>
  </si>
  <si>
    <t>NSE:BAJAJHLDNG</t>
  </si>
  <si>
    <t>NSE:DMART</t>
  </si>
  <si>
    <t>NSE:TIINDIA</t>
  </si>
  <si>
    <t>NSE:SUZLON</t>
  </si>
  <si>
    <t>NSE:ITC</t>
  </si>
  <si>
    <t>NSE:COLPAL</t>
  </si>
  <si>
    <t>NSE:GODREJIND</t>
  </si>
  <si>
    <t>NSE:MANKIND</t>
  </si>
  <si>
    <t>NSE:IREDA</t>
  </si>
  <si>
    <t>NSE:MAXHEALTH</t>
  </si>
  <si>
    <t>NSE:HONAUT</t>
  </si>
  <si>
    <t>NSE:OFSS</t>
  </si>
  <si>
    <t>NSE:PFC</t>
  </si>
  <si>
    <t>NSE:AWL</t>
  </si>
  <si>
    <t>NSE:ITCHOTELS</t>
  </si>
  <si>
    <t>NSE:SHREECEM</t>
  </si>
  <si>
    <t>NSE:BDL</t>
  </si>
  <si>
    <t>NSE:TATAELXSI</t>
  </si>
  <si>
    <t>NSE:JKCEMENT</t>
  </si>
  <si>
    <t>NSE:DLF</t>
  </si>
  <si>
    <t>NSE:INDIGO</t>
  </si>
  <si>
    <t>NSE:DEEPAKNTR</t>
  </si>
  <si>
    <t>NSE:LINDEINDIA</t>
  </si>
  <si>
    <t>NSE:ABBOTINDIA</t>
  </si>
  <si>
    <t>NSE:COCHINSHIP</t>
  </si>
  <si>
    <t>NSE:THERMAX</t>
  </si>
  <si>
    <t>NSE:TATATECH</t>
  </si>
  <si>
    <t>NSE:LICHSGFIN</t>
  </si>
  <si>
    <t>NSE:IRB</t>
  </si>
  <si>
    <t>NSE:POWERGRID</t>
  </si>
  <si>
    <t>NSE:ACC</t>
  </si>
  <si>
    <t>NSE:KALYANKJIL</t>
  </si>
  <si>
    <t>NSE:IRCTC</t>
  </si>
  <si>
    <t>NSE:NTPCGREEN</t>
  </si>
  <si>
    <t>NSE:CGPOWER</t>
  </si>
  <si>
    <t>NSE:HAVELLS</t>
  </si>
  <si>
    <t>NSE:KPITTECH</t>
  </si>
  <si>
    <t>NSE:IGL</t>
  </si>
  <si>
    <t>NSE:PATANJALI</t>
  </si>
  <si>
    <t>NSE:IOB</t>
  </si>
  <si>
    <t>NSE:CONCOR</t>
  </si>
  <si>
    <t>NSE:BALKRISIND</t>
  </si>
  <si>
    <t>NSE:GODREJPROP</t>
  </si>
  <si>
    <t>NSE:MEDANTA</t>
  </si>
  <si>
    <t>NSE:EXIDEIND</t>
  </si>
  <si>
    <t>NSE:RECLTD</t>
  </si>
  <si>
    <t>NSE:GAIL</t>
  </si>
  <si>
    <t>NSE:JSWINFRA</t>
  </si>
  <si>
    <t>NSE:NHPC</t>
  </si>
  <si>
    <t>NSE:HAL</t>
  </si>
  <si>
    <t>NSE:ABB</t>
  </si>
  <si>
    <t>NSE:UCOBANK</t>
  </si>
  <si>
    <t>NSE:HINDUNILVR</t>
  </si>
  <si>
    <t>NSE:ADANIENT</t>
  </si>
  <si>
    <t>NSE:ICICIBANK</t>
  </si>
  <si>
    <t>NSE:ZYDUSLIFE</t>
  </si>
  <si>
    <t>NSE:PGHH</t>
  </si>
  <si>
    <t>NSE:ATGL</t>
  </si>
  <si>
    <t>NSE:NAUKRI</t>
  </si>
  <si>
    <t>NSE:INDHOTEL</t>
  </si>
  <si>
    <t>NSE:GUJGASLTD</t>
  </si>
  <si>
    <t>NSE:BERGEPAINT</t>
  </si>
  <si>
    <t>NSE:TORNTPOWER</t>
  </si>
  <si>
    <t>NSE:COFORGE</t>
  </si>
  <si>
    <t>NSE:LICI</t>
  </si>
  <si>
    <t>NSE:GICRE</t>
  </si>
  <si>
    <t>NSE:SBICARD</t>
  </si>
  <si>
    <t>NSE:APOLLOHOSP</t>
  </si>
  <si>
    <t>NSE:JSWENERGY</t>
  </si>
  <si>
    <t>NSE:BLUESTARCO</t>
  </si>
  <si>
    <t>NSE:TATAPOWER</t>
  </si>
  <si>
    <t>NSE:IRFC</t>
  </si>
  <si>
    <t>NSE:WAAREEENER</t>
  </si>
  <si>
    <t>NSE:SYNGENE</t>
  </si>
  <si>
    <t>NSE:MOTILALOFS</t>
  </si>
  <si>
    <t>NSE:ONGC</t>
  </si>
  <si>
    <t>NSE:BAJFINANCE</t>
  </si>
  <si>
    <t>NSE:TATAINVEST</t>
  </si>
  <si>
    <t>NSE:PIDILITIND</t>
  </si>
  <si>
    <t>NSE:PETRONET</t>
  </si>
  <si>
    <t>NSE:CIPLA</t>
  </si>
  <si>
    <t>NSE:UNITDSPR</t>
  </si>
  <si>
    <t>NSE:SIEMENS</t>
  </si>
  <si>
    <t>NSE:TCS</t>
  </si>
  <si>
    <t>NSE:OBEROIRLTY</t>
  </si>
  <si>
    <t>NSE:NTPC</t>
  </si>
  <si>
    <t>NSE:COROMANDEL</t>
  </si>
  <si>
    <t>NSE:DABUR</t>
  </si>
  <si>
    <t>NSE:HDFCLIFE</t>
  </si>
  <si>
    <t>NSE:ULTRACEMCO</t>
  </si>
  <si>
    <t>NSE:AMBUJACEM</t>
  </si>
  <si>
    <t>NSE:SONACOMS</t>
  </si>
  <si>
    <t>NSE:DIVISLAB</t>
  </si>
  <si>
    <t>NSE:SCHAEFFLER</t>
  </si>
  <si>
    <t>NSE:ENDURANCE</t>
  </si>
  <si>
    <t>NSE:FLUOROCHEM</t>
  </si>
  <si>
    <t>NSE:ASTRAL</t>
  </si>
  <si>
    <t>NSE:DRREDDY</t>
  </si>
  <si>
    <t>NSE:LTTS</t>
  </si>
  <si>
    <t>NSE:LLOYDSME</t>
  </si>
  <si>
    <t>NSE:DALBHARAT</t>
  </si>
  <si>
    <t>NSE:JIOFIN</t>
  </si>
  <si>
    <t>NSE:BAJAJFINSV</t>
  </si>
  <si>
    <t>NSE:HEXT</t>
  </si>
  <si>
    <t>NSE:VBL</t>
  </si>
  <si>
    <t>NSE:SUNPHARMA</t>
  </si>
  <si>
    <t>NSE:ETERNAL</t>
  </si>
  <si>
    <t>NSE:RVNL</t>
  </si>
  <si>
    <t>NSE:HUDCO</t>
  </si>
  <si>
    <t>NSE:SWIGGY</t>
  </si>
  <si>
    <t>NSE:OIL</t>
  </si>
  <si>
    <t>NSE:ICICIGI</t>
  </si>
  <si>
    <t>NSE:POWERINDIA</t>
  </si>
  <si>
    <t>NSE:HDFCBANK</t>
  </si>
  <si>
    <t>NSE:IPCALAB</t>
  </si>
  <si>
    <t>NSE:FACT</t>
  </si>
  <si>
    <t>NSE:SRF</t>
  </si>
  <si>
    <t>NSE:VOLTAS</t>
  </si>
  <si>
    <t>NSE:VMM</t>
  </si>
  <si>
    <t>NSE:POLICYBZR</t>
  </si>
  <si>
    <t>NSE:BOSCHLTD</t>
  </si>
  <si>
    <t>NSE:COALINDIA</t>
  </si>
  <si>
    <t>NSE:HDFCAMC</t>
  </si>
  <si>
    <t>NSE:GRASIM</t>
  </si>
  <si>
    <t>NSE:ADANIGREEN</t>
  </si>
  <si>
    <t>NSE:GODREJCP</t>
  </si>
  <si>
    <t>NSE:PRESTIGE</t>
  </si>
  <si>
    <t>NSE:AUROPHARMA</t>
  </si>
  <si>
    <t>NSE:BHARTIHEXA</t>
  </si>
  <si>
    <t>NSE:ALKEM</t>
  </si>
  <si>
    <t>NSE:APOLLOTYRE</t>
  </si>
  <si>
    <t>NSE:BEL</t>
  </si>
  <si>
    <t>NSE:MPHASIS</t>
  </si>
  <si>
    <t>NSE:APARINDS</t>
  </si>
  <si>
    <t>NSE:HCLTECH</t>
  </si>
  <si>
    <t>NSE:KOTAKBANK</t>
  </si>
  <si>
    <t>NSE:YESBANK</t>
  </si>
  <si>
    <t>NSE:LUPIN</t>
  </si>
  <si>
    <t>NSE:NLCINDIA</t>
  </si>
  <si>
    <t>NSE:WIPRO</t>
  </si>
  <si>
    <t>NSE:MRF</t>
  </si>
  <si>
    <t>NSE:FORTIS</t>
  </si>
  <si>
    <t>NSE:MARICO</t>
  </si>
  <si>
    <t>NSE:TATACONSUM</t>
  </si>
  <si>
    <t>NSE:TECHM</t>
  </si>
  <si>
    <t>NSE:INFY</t>
  </si>
  <si>
    <t>NSE:BRITANNIA</t>
  </si>
  <si>
    <t>NSE:TATACOMM</t>
  </si>
  <si>
    <t>NSE:HYUNDAI</t>
  </si>
  <si>
    <t>NSE:ADANIPORTS</t>
  </si>
  <si>
    <t>NSE:BIOCON</t>
  </si>
  <si>
    <t>NSE:NESTLEIND</t>
  </si>
  <si>
    <t>NSE:CHOLAFIN</t>
  </si>
  <si>
    <t>NSE:JINDALSTEL</t>
  </si>
  <si>
    <t>NSE:ICICIPRULI</t>
  </si>
  <si>
    <t>NSE:JSWSTEEL</t>
  </si>
  <si>
    <t>NSE:BSE</t>
  </si>
  <si>
    <t>NSE:AXISBANK</t>
  </si>
  <si>
    <t>NSE:BHARTIARTL</t>
  </si>
  <si>
    <t>NSE:360ONE</t>
  </si>
  <si>
    <t>NSE:SUNDARMFIN</t>
  </si>
  <si>
    <t>NSE:ESCORTS</t>
  </si>
  <si>
    <t>NSE:UNIONBANK</t>
  </si>
  <si>
    <t>NSE:TORNTPHARM</t>
  </si>
  <si>
    <t>NSE:BAJAJ-AUTO</t>
  </si>
  <si>
    <t>NSE:RELIANCE</t>
  </si>
  <si>
    <t>NSE:MFSL</t>
  </si>
  <si>
    <t>NSE:PERSISTENT</t>
  </si>
  <si>
    <t>NSE:ASIANPAINT</t>
  </si>
  <si>
    <t>NSE:IOC</t>
  </si>
  <si>
    <t>NSE:INDUSINDBK</t>
  </si>
  <si>
    <t>NSE:NAM-INDIA</t>
  </si>
  <si>
    <t>NSE:TATASTEEL</t>
  </si>
  <si>
    <t>NSE:GLENMARK</t>
  </si>
  <si>
    <t>NSE:SBILIFE</t>
  </si>
  <si>
    <t>NSE:AJANTPHARM</t>
  </si>
  <si>
    <t>NSE:IDBI</t>
  </si>
  <si>
    <t>NSE:LT</t>
  </si>
  <si>
    <t>NSE:PNB</t>
  </si>
  <si>
    <t>NSE:POLYCAB</t>
  </si>
  <si>
    <t>NSE:INDUSTOWER</t>
  </si>
  <si>
    <t>NSE:TITAN</t>
  </si>
  <si>
    <t>NSE:UNOMINDA</t>
  </si>
  <si>
    <t>NSE:M&amp;M</t>
  </si>
  <si>
    <t>NSE:NMDC</t>
  </si>
  <si>
    <t>NSE:UPL</t>
  </si>
  <si>
    <t>NSE:LTIM</t>
  </si>
  <si>
    <t>NSE:MAHABANK</t>
  </si>
  <si>
    <t>NSE:PHOENIXLTD</t>
  </si>
  <si>
    <t>NSE:BPCL</t>
  </si>
  <si>
    <t>NSE:APLAPOLLO</t>
  </si>
  <si>
    <t>NSE:SAIL</t>
  </si>
  <si>
    <t>NSE:3MINDIA</t>
  </si>
  <si>
    <t>NSE:SBIN</t>
  </si>
  <si>
    <t>NSE:GMRAIRPORT</t>
  </si>
  <si>
    <t>NSE:BHARATFORG</t>
  </si>
  <si>
    <t>NSE:ADANIPOWER</t>
  </si>
  <si>
    <t>NSE:HINDPETRO</t>
  </si>
  <si>
    <t>NSE:ADANIENSOL</t>
  </si>
  <si>
    <t>NSE:BHEL</t>
  </si>
  <si>
    <t>NSE:BANKBARODA</t>
  </si>
  <si>
    <t>NSE:KEI</t>
  </si>
  <si>
    <t>NSE:IDFCFIRSTB</t>
  </si>
  <si>
    <t>NSE:NYKAA</t>
  </si>
  <si>
    <t>NSE:MOTHERSON</t>
  </si>
  <si>
    <t>NSE:BANKINDIA</t>
  </si>
  <si>
    <t>NSE:EICHERMOT</t>
  </si>
  <si>
    <t>NSE:MARUTI</t>
  </si>
  <si>
    <t>NSE:JSL</t>
  </si>
  <si>
    <t>NSE:PAYTM</t>
  </si>
  <si>
    <t>NSE:HEROMOTOCO</t>
  </si>
  <si>
    <t>NSE:AIAENG</t>
  </si>
  <si>
    <t>NSE:INDIANB</t>
  </si>
  <si>
    <t>NSE:TVSMOTOR</t>
  </si>
  <si>
    <t>NSE:CUMMINSIND</t>
  </si>
  <si>
    <t>NSE:HINDALCO</t>
  </si>
  <si>
    <t>NSE:FEDERALBNK</t>
  </si>
  <si>
    <t>NSE:GVT&amp;D</t>
  </si>
  <si>
    <t>NSE:VEDL</t>
  </si>
  <si>
    <t>NSE:AUBANK</t>
  </si>
  <si>
    <t>NSE:HINDZINC</t>
  </si>
  <si>
    <t>NSE:CANBK</t>
  </si>
  <si>
    <t>NSE:ABCAPITAL</t>
  </si>
  <si>
    <t>NSE:MUTHOOTFIN</t>
  </si>
  <si>
    <t>NSE:IDEA</t>
  </si>
  <si>
    <t>NSE:M&amp;MFIN</t>
  </si>
  <si>
    <t>NSE:ASHOKLEY</t>
  </si>
  <si>
    <t>NSE:LTF</t>
  </si>
  <si>
    <t>NSE:SHRIRAMFIN</t>
  </si>
  <si>
    <t>NSE:NATIONALUM</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</si>
</sst>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color rgb="FF38761D"/>
      <name val="Arial"/>
      <scheme val="minor"/>
    </font>
    <font/>
    <font>
      <b/>
      <color rgb="FFFF0000"/>
      <name val="Arial"/>
      <scheme val="minor"/>
    </font>
    <font>
      <b/>
      <color rgb="FF000000"/>
      <name val="Arial"/>
      <scheme val="minor"/>
    </font>
    <font>
      <b/>
      <color rgb="FF000000"/>
      <name val="Arial"/>
    </font>
    <font>
      <b/>
      <color theme="1"/>
      <name val="Arial"/>
    </font>
    <font>
      <b/>
      <color rgb="FF6AA84F"/>
      <name val="Arial"/>
    </font>
    <font>
      <color theme="1"/>
      <name val="Arial"/>
      <scheme val="minor"/>
    </font>
    <font>
      <sz val="11.0"/>
      <color rgb="FF38761D"/>
      <name val="Inconsolata"/>
    </font>
    <font>
      <sz val="11.0"/>
      <color theme="1"/>
      <name val="Inconsolata"/>
    </font>
    <font>
      <color rgb="FFFF0000"/>
      <name val="Arial"/>
    </font>
    <font>
      <sz val="11.0"/>
      <color rgb="FF000000"/>
      <name val="Inconsolata"/>
    </font>
    <font>
      <color rgb="FF38761D"/>
      <name val="Arial"/>
      <scheme val="minor"/>
    </font>
    <font>
      <color rgb="FF000000"/>
      <name val="Arial"/>
      <scheme val="minor"/>
    </font>
    <font>
      <color rgb="FF000000"/>
      <name val="Arial"/>
    </font>
    <font>
      <color theme="1"/>
      <name val="Arial"/>
    </font>
    <font>
      <color rgb="FFFF0000"/>
      <name val="Arial"/>
      <scheme val="minor"/>
    </font>
    <font>
      <color rgb="FF374151"/>
      <name val="Söhne"/>
    </font>
    <font>
      <sz val="11.0"/>
      <color rgb="FF000000"/>
      <name val="Calibri"/>
    </font>
  </fonts>
  <fills count="4">
    <fill>
      <patternFill patternType="none"/>
    </fill>
    <fill>
      <patternFill patternType="lightGray"/>
    </fill>
    <fill>
      <patternFill patternType="solid">
        <fgColor rgb="FFFFFFFF"/>
        <bgColor rgb="FFFFFFFF"/>
      </patternFill>
    </fill>
    <fill>
      <patternFill patternType="solid">
        <fgColor rgb="FFECECF1"/>
        <bgColor rgb="FFECECF1"/>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1" fillId="0" fontId="3" numFmtId="0" xfId="0" applyAlignment="1" applyBorder="1" applyFont="1">
      <alignment horizontal="center" readingOrder="0"/>
    </xf>
    <xf borderId="4" fillId="0" fontId="4" numFmtId="0" xfId="0" applyAlignment="1" applyBorder="1" applyFont="1">
      <alignment readingOrder="0" shrinkToFit="0" wrapText="1"/>
    </xf>
    <xf borderId="4" fillId="0" fontId="4" numFmtId="2" xfId="0" applyAlignment="1" applyBorder="1" applyFont="1" applyNumberFormat="1">
      <alignment readingOrder="0" shrinkToFit="0" wrapText="1"/>
    </xf>
    <xf borderId="0" fillId="0" fontId="5" numFmtId="0" xfId="0" applyAlignment="1" applyFont="1">
      <alignment readingOrder="0"/>
    </xf>
    <xf borderId="0" fillId="0" fontId="6" numFmtId="0" xfId="0" applyFont="1"/>
    <xf borderId="0" fillId="0" fontId="7" numFmtId="0" xfId="0" applyFont="1"/>
    <xf borderId="0" fillId="0" fontId="8" numFmtId="0" xfId="0" applyAlignment="1" applyFont="1">
      <alignment shrinkToFit="0" wrapText="1"/>
    </xf>
    <xf borderId="4" fillId="2" fontId="9" numFmtId="0" xfId="0" applyAlignment="1" applyBorder="1" applyFill="1" applyFont="1">
      <alignment vertical="bottom"/>
    </xf>
    <xf borderId="4" fillId="2" fontId="10" numFmtId="2" xfId="0" applyAlignment="1" applyBorder="1" applyFont="1" applyNumberFormat="1">
      <alignment horizontal="right" vertical="bottom"/>
    </xf>
    <xf borderId="4" fillId="2" fontId="11" numFmtId="0" xfId="0" applyAlignment="1" applyBorder="1" applyFont="1">
      <alignment shrinkToFit="0" vertical="top" wrapText="1"/>
    </xf>
    <xf borderId="4" fillId="2" fontId="12" numFmtId="2" xfId="0" applyAlignment="1" applyBorder="1" applyFont="1" applyNumberFormat="1">
      <alignment horizontal="right" vertical="bottom"/>
    </xf>
    <xf borderId="5" fillId="2" fontId="11" numFmtId="0" xfId="0" applyAlignment="1" applyBorder="1" applyFont="1">
      <alignment shrinkToFit="0" vertical="top" wrapText="1"/>
    </xf>
    <xf borderId="6" fillId="0" fontId="2" numFmtId="0" xfId="0" applyBorder="1" applyFont="1"/>
    <xf borderId="7" fillId="0" fontId="2" numFmtId="0" xfId="0" applyBorder="1" applyFont="1"/>
    <xf borderId="4" fillId="0" fontId="13" numFmtId="0" xfId="0" applyBorder="1" applyFont="1"/>
    <xf borderId="4" fillId="0" fontId="14" numFmtId="2" xfId="0" applyBorder="1" applyFont="1" applyNumberFormat="1"/>
    <xf borderId="4" fillId="2" fontId="15" numFmtId="2" xfId="0" applyAlignment="1" applyBorder="1" applyFont="1" applyNumberFormat="1">
      <alignment shrinkToFit="0" vertical="top" wrapText="1"/>
    </xf>
    <xf borderId="4" fillId="2" fontId="15" numFmtId="0" xfId="0" applyAlignment="1" applyBorder="1" applyFont="1">
      <alignment shrinkToFit="0" vertical="top" wrapText="1"/>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15" numFmtId="2" xfId="0" applyAlignment="1" applyBorder="1" applyFont="1" applyNumberFormat="1">
      <alignment vertical="bottom"/>
    </xf>
    <xf borderId="4" fillId="0" fontId="11" numFmtId="0" xfId="0" applyAlignment="1" applyBorder="1" applyFont="1">
      <alignment vertical="bottom"/>
    </xf>
    <xf borderId="4" fillId="0" fontId="15" numFmtId="0" xfId="0" applyAlignment="1" applyBorder="1" applyFont="1">
      <alignment vertical="bottom"/>
    </xf>
    <xf borderId="4" fillId="0" fontId="6" numFmtId="0" xfId="0" applyAlignment="1" applyBorder="1" applyFont="1">
      <alignment vertical="bottom"/>
    </xf>
    <xf borderId="0" fillId="0" fontId="16" numFmtId="0" xfId="0" applyAlignment="1" applyFont="1">
      <alignment vertical="bottom"/>
    </xf>
    <xf borderId="4" fillId="2" fontId="15" numFmtId="2" xfId="0" applyAlignment="1" applyBorder="1" applyFont="1" applyNumberFormat="1">
      <alignment shrinkToFit="0" vertical="bottom" wrapText="1"/>
    </xf>
    <xf borderId="4" fillId="2" fontId="11" numFmtId="0" xfId="0" applyAlignment="1" applyBorder="1" applyFont="1">
      <alignment shrinkToFit="0" vertical="bottom" wrapText="1"/>
    </xf>
    <xf borderId="4" fillId="2" fontId="16" numFmtId="0" xfId="0" applyAlignment="1" applyBorder="1" applyFont="1">
      <alignment shrinkToFit="0" vertical="bottom" wrapText="1"/>
    </xf>
    <xf borderId="5" fillId="2" fontId="6" numFmtId="0" xfId="0" applyAlignment="1" applyBorder="1" applyFont="1">
      <alignment shrinkToFit="0" vertical="bottom" wrapText="1"/>
    </xf>
    <xf borderId="4" fillId="2" fontId="16" numFmtId="2" xfId="0" applyAlignment="1" applyBorder="1" applyFont="1" applyNumberFormat="1">
      <alignment shrinkToFit="0" vertical="bottom" wrapText="1"/>
    </xf>
    <xf borderId="4" fillId="0" fontId="16" numFmtId="0" xfId="0" applyAlignment="1" applyBorder="1" applyFont="1">
      <alignment vertical="bottom"/>
    </xf>
    <xf borderId="4" fillId="0" fontId="16" numFmtId="2" xfId="0" applyAlignment="1" applyBorder="1" applyFont="1" applyNumberFormat="1">
      <alignment vertical="bottom"/>
    </xf>
    <xf borderId="1" fillId="0" fontId="6" numFmtId="0" xfId="0" applyAlignment="1" applyBorder="1" applyFont="1">
      <alignment vertical="bottom"/>
    </xf>
    <xf borderId="4" fillId="0" fontId="15" numFmtId="2" xfId="0" applyAlignment="1" applyBorder="1" applyFont="1" applyNumberFormat="1">
      <alignment shrinkToFit="0" vertical="bottom" wrapText="1"/>
    </xf>
    <xf borderId="4" fillId="0" fontId="11" numFmtId="0" xfId="0" applyAlignment="1" applyBorder="1" applyFont="1">
      <alignment shrinkToFit="0" vertical="bottom" wrapText="1"/>
    </xf>
    <xf borderId="4" fillId="0" fontId="16" numFmtId="0" xfId="0" applyAlignment="1" applyBorder="1" applyFont="1">
      <alignment shrinkToFit="0" vertical="bottom" wrapText="1"/>
    </xf>
    <xf borderId="4" fillId="0" fontId="16" numFmtId="2" xfId="0" applyAlignment="1" applyBorder="1" applyFont="1" applyNumberFormat="1">
      <alignment shrinkToFit="0" vertical="bottom" wrapText="1"/>
    </xf>
    <xf borderId="5" fillId="0" fontId="16" numFmtId="0" xfId="0" applyAlignment="1" applyBorder="1" applyFont="1">
      <alignment shrinkToFit="0" vertical="bottom" wrapText="1"/>
    </xf>
    <xf borderId="4" fillId="0" fontId="17" numFmtId="0" xfId="0" applyBorder="1" applyFont="1"/>
    <xf borderId="4" fillId="0" fontId="8" numFmtId="0" xfId="0" applyBorder="1" applyFont="1"/>
    <xf borderId="4" fillId="0" fontId="8" numFmtId="2" xfId="0" applyBorder="1" applyFont="1" applyNumberFormat="1"/>
    <xf borderId="0" fillId="0" fontId="8" numFmtId="2" xfId="0" applyFont="1" applyNumberFormat="1"/>
    <xf borderId="11" fillId="3" fontId="18" numFmtId="0" xfId="0" applyAlignment="1" applyBorder="1" applyFill="1" applyFont="1">
      <alignment horizontal="center" readingOrder="0" vertical="bottom"/>
    </xf>
    <xf borderId="4" fillId="0" fontId="8" numFmtId="0" xfId="0" applyAlignment="1" applyBorder="1" applyFont="1">
      <alignment readingOrder="0"/>
    </xf>
    <xf borderId="0" fillId="0" fontId="8" numFmtId="0" xfId="0" applyAlignment="1" applyFont="1">
      <alignment readingOrder="0"/>
    </xf>
    <xf borderId="0" fillId="0" fontId="19" numFmtId="0" xfId="0" applyAlignment="1" applyFont="1">
      <alignment readingOrder="0" shrinkToFit="0" vertical="bottom" wrapText="0"/>
    </xf>
    <xf borderId="4" fillId="2" fontId="12" numFmtId="0" xfId="0" applyBorder="1" applyFont="1"/>
    <xf borderId="4" fillId="2" fontId="12" numFmtId="2" xfId="0" applyBorder="1" applyFont="1" applyNumberFormat="1"/>
    <xf borderId="0" fillId="2" fontId="12" numFmtId="0" xfId="0" applyFont="1"/>
    <xf borderId="0" fillId="2" fontId="12" numFmtId="2" xfId="0" applyFont="1" applyNumberFormat="1"/>
  </cellXfs>
  <cellStyles count="1">
    <cellStyle xfId="0" name="Normal" builtinId="0"/>
  </cellStyles>
  <dxfs count="2">
    <dxf>
      <font/>
      <fill>
        <patternFill patternType="solid">
          <fgColor rgb="FFE06666"/>
          <bgColor rgb="FFE06666"/>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15.25"/>
    <col customWidth="1" min="3" max="3" width="18.63"/>
    <col customWidth="1" min="4" max="4" width="16.38"/>
    <col customWidth="1" min="6" max="6" width="18.63"/>
  </cols>
  <sheetData>
    <row r="1">
      <c r="A1" s="1" t="s">
        <v>0</v>
      </c>
      <c r="B1" s="2"/>
      <c r="C1" s="3"/>
      <c r="D1" s="4" t="s">
        <v>1</v>
      </c>
      <c r="E1" s="2"/>
      <c r="F1" s="3"/>
    </row>
    <row r="2">
      <c r="A2" s="5" t="s">
        <v>2</v>
      </c>
      <c r="B2" s="6" t="s">
        <v>3</v>
      </c>
      <c r="C2" s="7" t="s">
        <v>4</v>
      </c>
      <c r="D2" s="5" t="s">
        <v>2</v>
      </c>
      <c r="E2" s="6" t="s">
        <v>3</v>
      </c>
      <c r="F2" s="7" t="s">
        <v>4</v>
      </c>
      <c r="G2" s="8" t="s">
        <v>5</v>
      </c>
      <c r="H2" s="9" t="s">
        <v>6</v>
      </c>
      <c r="Q2" s="10"/>
      <c r="R2" s="10"/>
      <c r="S2" s="10"/>
      <c r="T2" s="10"/>
      <c r="U2" s="10"/>
      <c r="V2" s="10"/>
      <c r="W2" s="10"/>
      <c r="X2" s="10"/>
      <c r="Y2" s="10"/>
      <c r="Z2" s="10"/>
    </row>
    <row r="3">
      <c r="A3" s="11" t="str">
        <f>IFERROR(__xludf.DUMMYFUNCTION("SORT(FILTER({'Top 250 Stocks'!A:B, 'Top 250 Stocks'!G:G}, 'Top 250 Stocks'!F:F=""In Bull Run""), 2, TRUE)"),"NSE:BPCL")</f>
        <v>NSE:BPCL</v>
      </c>
      <c r="B3" s="12">
        <f>IFERROR(__xludf.DUMMYFUNCTION("""COMPUTED_VALUE"""),376.0)</f>
        <v>376</v>
      </c>
      <c r="C3" s="12">
        <f>IFERROR(__xludf.DUMMYFUNCTION("""COMPUTED_VALUE"""),9.297241988744775)</f>
        <v>9.297241989</v>
      </c>
      <c r="D3" s="13" t="str">
        <f>IFERROR(__xludf.DUMMYFUNCTION("SORT(FILTER({'Top 250 Stocks'!A:B, 'Top 250 Stocks'!G:G}, 'Top 250 Stocks'!F:F=""In Bear Run""), 2, TRUE)"),"NSE:UCOBANK")</f>
        <v>NSE:UCOBANK</v>
      </c>
      <c r="E3" s="14">
        <f>IFERROR(__xludf.DUMMYFUNCTION("""COMPUTED_VALUE"""),28.66)</f>
        <v>28.66</v>
      </c>
      <c r="F3" s="14">
        <f>IFERROR(__xludf.DUMMYFUNCTION("""COMPUTED_VALUE"""),-5.410199922440303)</f>
        <v>-5.410199922</v>
      </c>
      <c r="G3" s="15" t="s">
        <v>7</v>
      </c>
      <c r="H3" s="16"/>
      <c r="I3" s="16"/>
      <c r="J3" s="16"/>
      <c r="K3" s="16"/>
      <c r="L3" s="16"/>
      <c r="M3" s="16"/>
      <c r="N3" s="16"/>
      <c r="O3" s="16"/>
      <c r="P3" s="17"/>
    </row>
    <row r="4">
      <c r="A4" s="18" t="str">
        <f>IFERROR(__xludf.DUMMYFUNCTION("""COMPUTED_VALUE"""),"NSE:COALINDIA")</f>
        <v>NSE:COALINDIA</v>
      </c>
      <c r="B4" s="19">
        <f>IFERROR(__xludf.DUMMYFUNCTION("""COMPUTED_VALUE"""),425.45)</f>
        <v>425.45</v>
      </c>
      <c r="C4" s="20">
        <f>IFERROR(__xludf.DUMMYFUNCTION("""COMPUTED_VALUE"""),7.5404034818875685)</f>
        <v>7.540403482</v>
      </c>
      <c r="D4" s="13" t="str">
        <f>IFERROR(__xludf.DUMMYFUNCTION("""COMPUTED_VALUE"""),"NSE:IOB")</f>
        <v>NSE:IOB</v>
      </c>
      <c r="E4" s="21">
        <f>IFERROR(__xludf.DUMMYFUNCTION("""COMPUTED_VALUE"""),35.35)</f>
        <v>35.35</v>
      </c>
      <c r="F4" s="20">
        <f>IFERROR(__xludf.DUMMYFUNCTION("""COMPUTED_VALUE"""),-6.743487872696244)</f>
        <v>-6.743487873</v>
      </c>
      <c r="G4" s="22"/>
      <c r="P4" s="23"/>
    </row>
    <row r="5">
      <c r="A5" s="18" t="str">
        <f>IFERROR(__xludf.DUMMYFUNCTION("""COMPUTED_VALUE"""),"NSE:SONACOMS")</f>
        <v>NSE:SONACOMS</v>
      </c>
      <c r="B5" s="19">
        <f>IFERROR(__xludf.DUMMYFUNCTION("""COMPUTED_VALUE"""),517.5)</f>
        <v>517.5</v>
      </c>
      <c r="C5" s="20">
        <f>IFERROR(__xludf.DUMMYFUNCTION("""COMPUTED_VALUE"""),7.913106489904598)</f>
        <v>7.91310649</v>
      </c>
      <c r="D5" s="13" t="str">
        <f>IFERROR(__xludf.DUMMYFUNCTION("""COMPUTED_VALUE"""),"NSE:IRB")</f>
        <v>NSE:IRB</v>
      </c>
      <c r="E5" s="21">
        <f>IFERROR(__xludf.DUMMYFUNCTION("""COMPUTED_VALUE"""),40.18)</f>
        <v>40.18</v>
      </c>
      <c r="F5" s="20">
        <f>IFERROR(__xludf.DUMMYFUNCTION("""COMPUTED_VALUE"""),-9.969358660519752)</f>
        <v>-9.969358661</v>
      </c>
      <c r="G5" s="22"/>
      <c r="P5" s="23"/>
    </row>
    <row r="6">
      <c r="A6" s="18" t="str">
        <f>IFERROR(__xludf.DUMMYFUNCTION("""COMPUTED_VALUE"""),"NSE:MARICO")</f>
        <v>NSE:MARICO</v>
      </c>
      <c r="B6" s="19">
        <f>IFERROR(__xludf.DUMMYFUNCTION("""COMPUTED_VALUE"""),780.35)</f>
        <v>780.35</v>
      </c>
      <c r="C6" s="20">
        <f>IFERROR(__xludf.DUMMYFUNCTION("""COMPUTED_VALUE"""),7.095129528701147)</f>
        <v>7.095129529</v>
      </c>
      <c r="D6" s="13" t="str">
        <f>IFERROR(__xludf.DUMMYFUNCTION("""COMPUTED_VALUE"""),"NSE:GAIL")</f>
        <v>NSE:GAIL</v>
      </c>
      <c r="E6" s="21">
        <f>IFERROR(__xludf.DUMMYFUNCTION("""COMPUTED_VALUE"""),165.45)</f>
        <v>165.45</v>
      </c>
      <c r="F6" s="20">
        <f>IFERROR(__xludf.DUMMYFUNCTION("""COMPUTED_VALUE"""),-6.821594187064205)</f>
        <v>-6.821594187</v>
      </c>
      <c r="G6" s="22"/>
      <c r="P6" s="23"/>
    </row>
    <row r="7">
      <c r="A7" s="18" t="str">
        <f>IFERROR(__xludf.DUMMYFUNCTION("""COMPUTED_VALUE"""),"NSE:NAM-INDIA")</f>
        <v>NSE:NAM-INDIA</v>
      </c>
      <c r="B7" s="19">
        <f>IFERROR(__xludf.DUMMYFUNCTION("""COMPUTED_VALUE"""),904.25)</f>
        <v>904.25</v>
      </c>
      <c r="C7" s="20">
        <f>IFERROR(__xludf.DUMMYFUNCTION("""COMPUTED_VALUE"""),7.146369583583464)</f>
        <v>7.146369584</v>
      </c>
      <c r="D7" s="13" t="str">
        <f>IFERROR(__xludf.DUMMYFUNCTION("""COMPUTED_VALUE"""),"NSE:RECLTD")</f>
        <v>NSE:RECLTD</v>
      </c>
      <c r="E7" s="21">
        <f>IFERROR(__xludf.DUMMYFUNCTION("""COMPUTED_VALUE"""),339.85)</f>
        <v>339.85</v>
      </c>
      <c r="F7" s="20">
        <f>IFERROR(__xludf.DUMMYFUNCTION("""COMPUTED_VALUE"""),-9.651186052493271)</f>
        <v>-9.651186052</v>
      </c>
      <c r="G7" s="22"/>
      <c r="P7" s="23"/>
    </row>
    <row r="8">
      <c r="A8" s="18" t="str">
        <f>IFERROR(__xludf.DUMMYFUNCTION("""COMPUTED_VALUE"""),"NSE:AUROPHARMA")</f>
        <v>NSE:AUROPHARMA</v>
      </c>
      <c r="B8" s="19">
        <f>IFERROR(__xludf.DUMMYFUNCTION("""COMPUTED_VALUE"""),1212.0)</f>
        <v>1212</v>
      </c>
      <c r="C8" s="20">
        <f>IFERROR(__xludf.DUMMYFUNCTION("""COMPUTED_VALUE"""),5.927759365691998)</f>
        <v>5.927759366</v>
      </c>
      <c r="D8" s="13" t="str">
        <f>IFERROR(__xludf.DUMMYFUNCTION("""COMPUTED_VALUE"""),"NSE:TATAPOWER")</f>
        <v>NSE:TATAPOWER</v>
      </c>
      <c r="E8" s="21">
        <f>IFERROR(__xludf.DUMMYFUNCTION("""COMPUTED_VALUE"""),368.15)</f>
        <v>368.15</v>
      </c>
      <c r="F8" s="20">
        <f>IFERROR(__xludf.DUMMYFUNCTION("""COMPUTED_VALUE"""),-5.129794243879531)</f>
        <v>-5.129794244</v>
      </c>
      <c r="G8" s="24"/>
      <c r="H8" s="25"/>
      <c r="I8" s="25"/>
      <c r="J8" s="25"/>
      <c r="K8" s="25"/>
      <c r="L8" s="25"/>
      <c r="M8" s="25"/>
      <c r="N8" s="25"/>
      <c r="O8" s="25"/>
      <c r="P8" s="26"/>
    </row>
    <row r="9">
      <c r="A9" s="18" t="str">
        <f>IFERROR(__xludf.DUMMYFUNCTION("""COMPUTED_VALUE"""),"NSE:VOLTAS")</f>
        <v>NSE:VOLTAS</v>
      </c>
      <c r="B9" s="19">
        <f>IFERROR(__xludf.DUMMYFUNCTION("""COMPUTED_VALUE"""),1500.0)</f>
        <v>1500</v>
      </c>
      <c r="C9" s="27">
        <f>IFERROR(__xludf.DUMMYFUNCTION("""COMPUTED_VALUE"""),9.426590077780409)</f>
        <v>9.426590078</v>
      </c>
      <c r="D9" s="28" t="str">
        <f>IFERROR(__xludf.DUMMYFUNCTION("""COMPUTED_VALUE"""),"NSE:GICRE")</f>
        <v>NSE:GICRE</v>
      </c>
      <c r="E9" s="29">
        <f>IFERROR(__xludf.DUMMYFUNCTION("""COMPUTED_VALUE"""),373.05)</f>
        <v>373.05</v>
      </c>
      <c r="F9" s="27">
        <f>IFERROR(__xludf.DUMMYFUNCTION("""COMPUTED_VALUE"""),-2.4505682865633927)</f>
        <v>-2.450568287</v>
      </c>
      <c r="G9" s="30" t="s">
        <v>8</v>
      </c>
      <c r="H9" s="31"/>
      <c r="I9" s="31"/>
      <c r="J9" s="31"/>
      <c r="K9" s="31"/>
      <c r="L9" s="31"/>
      <c r="M9" s="31"/>
      <c r="N9" s="31"/>
      <c r="O9" s="31"/>
      <c r="P9" s="31"/>
    </row>
    <row r="10">
      <c r="A10" s="18" t="str">
        <f>IFERROR(__xludf.DUMMYFUNCTION("""COMPUTED_VALUE"""),"NSE:IPCALAB")</f>
        <v>NSE:IPCALAB</v>
      </c>
      <c r="B10" s="19">
        <f>IFERROR(__xludf.DUMMYFUNCTION("""COMPUTED_VALUE"""),1510.0)</f>
        <v>1510</v>
      </c>
      <c r="C10" s="32">
        <f>IFERROR(__xludf.DUMMYFUNCTION("""COMPUTED_VALUE"""),7.250259602449653)</f>
        <v>7.250259602</v>
      </c>
      <c r="D10" s="33" t="str">
        <f>IFERROR(__xludf.DUMMYFUNCTION("""COMPUTED_VALUE"""),"NSE:HDFCLIFE")</f>
        <v>NSE:HDFCLIFE</v>
      </c>
      <c r="E10" s="34">
        <f>IFERROR(__xludf.DUMMYFUNCTION("""COMPUTED_VALUE"""),707.75)</f>
        <v>707.75</v>
      </c>
      <c r="F10" s="32">
        <f>IFERROR(__xludf.DUMMYFUNCTION("""COMPUTED_VALUE"""),-6.6031660569975426)</f>
        <v>-6.603166057</v>
      </c>
      <c r="G10" s="35" t="s">
        <v>9</v>
      </c>
      <c r="H10" s="16"/>
      <c r="I10" s="16"/>
      <c r="J10" s="16"/>
      <c r="K10" s="16"/>
      <c r="L10" s="16"/>
      <c r="M10" s="16"/>
      <c r="N10" s="16"/>
      <c r="O10" s="16"/>
      <c r="P10" s="17"/>
    </row>
    <row r="11">
      <c r="A11" s="18" t="str">
        <f>IFERROR(__xludf.DUMMYFUNCTION("""COMPUTED_VALUE"""),"NSE:BLUESTARCO")</f>
        <v>NSE:BLUESTARCO</v>
      </c>
      <c r="B11" s="19">
        <f>IFERROR(__xludf.DUMMYFUNCTION("""COMPUTED_VALUE"""),1899.0)</f>
        <v>1899</v>
      </c>
      <c r="C11" s="32">
        <f>IFERROR(__xludf.DUMMYFUNCTION("""COMPUTED_VALUE"""),5.257702616227582)</f>
        <v>5.257702616</v>
      </c>
      <c r="D11" s="33" t="str">
        <f>IFERROR(__xludf.DUMMYFUNCTION("""COMPUTED_VALUE"""),"NSE:LICI")</f>
        <v>NSE:LICI</v>
      </c>
      <c r="E11" s="34">
        <f>IFERROR(__xludf.DUMMYFUNCTION("""COMPUTED_VALUE"""),840.0)</f>
        <v>840</v>
      </c>
      <c r="F11" s="36">
        <f>IFERROR(__xludf.DUMMYFUNCTION("""COMPUTED_VALUE"""),-5.544801281442212)</f>
        <v>-5.544801281</v>
      </c>
      <c r="G11" s="22"/>
      <c r="P11" s="23"/>
    </row>
    <row r="12">
      <c r="A12" s="18" t="str">
        <f>IFERROR(__xludf.DUMMYFUNCTION("""COMPUTED_VALUE"""),"NSE:SUNDARMFIN")</f>
        <v>NSE:SUNDARMFIN</v>
      </c>
      <c r="B12" s="19">
        <f>IFERROR(__xludf.DUMMYFUNCTION("""COMPUTED_VALUE"""),5279.0)</f>
        <v>5279</v>
      </c>
      <c r="C12" s="32">
        <f>IFERROR(__xludf.DUMMYFUNCTION("""COMPUTED_VALUE"""),7.723646707659071)</f>
        <v>7.723646708</v>
      </c>
      <c r="D12" s="33" t="str">
        <f>IFERROR(__xludf.DUMMYFUNCTION("""COMPUTED_VALUE"""),"NSE:HDFCBANK")</f>
        <v>NSE:HDFCBANK</v>
      </c>
      <c r="E12" s="34">
        <f>IFERROR(__xludf.DUMMYFUNCTION("""COMPUTED_VALUE"""),882.1)</f>
        <v>882.1</v>
      </c>
      <c r="F12" s="36">
        <f>IFERROR(__xludf.DUMMYFUNCTION("""COMPUTED_VALUE"""),-9.409392061639851)</f>
        <v>-9.409392062</v>
      </c>
      <c r="G12" s="22"/>
      <c r="P12" s="23"/>
    </row>
    <row r="13">
      <c r="A13" s="18" t="str">
        <f>IFERROR(__xludf.DUMMYFUNCTION("""COMPUTED_VALUE"""),"NSE:BAJAJ-AUTO")</f>
        <v>NSE:BAJAJ-AUTO</v>
      </c>
      <c r="B13" s="19">
        <f>IFERROR(__xludf.DUMMYFUNCTION("""COMPUTED_VALUE"""),9769.5)</f>
        <v>9769.5</v>
      </c>
      <c r="C13" s="32">
        <f>IFERROR(__xludf.DUMMYFUNCTION("""COMPUTED_VALUE"""),9.477456519144699)</f>
        <v>9.477456519</v>
      </c>
      <c r="D13" s="33" t="str">
        <f>IFERROR(__xludf.DUMMYFUNCTION("""COMPUTED_VALUE"""),"NSE:MEDANTA")</f>
        <v>NSE:MEDANTA</v>
      </c>
      <c r="E13" s="34">
        <f>IFERROR(__xludf.DUMMYFUNCTION("""COMPUTED_VALUE"""),1131.0)</f>
        <v>1131</v>
      </c>
      <c r="F13" s="36">
        <f>IFERROR(__xludf.DUMMYFUNCTION("""COMPUTED_VALUE"""),-9.073660786066647)</f>
        <v>-9.073660786</v>
      </c>
      <c r="G13" s="24"/>
      <c r="H13" s="25"/>
      <c r="I13" s="25"/>
      <c r="J13" s="25"/>
      <c r="K13" s="25"/>
      <c r="L13" s="25"/>
      <c r="M13" s="25"/>
      <c r="N13" s="25"/>
      <c r="O13" s="25"/>
      <c r="P13" s="26"/>
    </row>
    <row r="14">
      <c r="A14" s="18"/>
      <c r="B14" s="19"/>
      <c r="C14" s="27"/>
      <c r="D14" s="28" t="str">
        <f>IFERROR(__xludf.DUMMYFUNCTION("""COMPUTED_VALUE"""),"NSE:LLOYDSME")</f>
        <v>NSE:LLOYDSME</v>
      </c>
      <c r="E14" s="37">
        <f>IFERROR(__xludf.DUMMYFUNCTION("""COMPUTED_VALUE"""),1215.0)</f>
        <v>1215</v>
      </c>
      <c r="F14" s="38">
        <f>IFERROR(__xludf.DUMMYFUNCTION("""COMPUTED_VALUE"""),-9.12769316722525)</f>
        <v>-9.127693167</v>
      </c>
      <c r="G14" s="39" t="s">
        <v>10</v>
      </c>
      <c r="H14" s="3"/>
      <c r="I14" s="31"/>
      <c r="J14" s="31"/>
      <c r="K14" s="31"/>
      <c r="L14" s="31"/>
      <c r="M14" s="31"/>
      <c r="N14" s="31"/>
      <c r="O14" s="31"/>
      <c r="P14" s="31"/>
    </row>
    <row r="15">
      <c r="A15" s="18"/>
      <c r="B15" s="19"/>
      <c r="C15" s="40"/>
      <c r="D15" s="41" t="str">
        <f>IFERROR(__xludf.DUMMYFUNCTION("""COMPUTED_VALUE"""),"NSE:CIPLA")</f>
        <v>NSE:CIPLA</v>
      </c>
      <c r="E15" s="42">
        <f>IFERROR(__xludf.DUMMYFUNCTION("""COMPUTED_VALUE"""),1351.0)</f>
        <v>1351</v>
      </c>
      <c r="F15" s="43">
        <f>IFERROR(__xludf.DUMMYFUNCTION("""COMPUTED_VALUE"""),-9.453163459157269)</f>
        <v>-9.453163459</v>
      </c>
      <c r="G15" s="44" t="s">
        <v>11</v>
      </c>
      <c r="H15" s="16"/>
      <c r="I15" s="16"/>
      <c r="J15" s="16"/>
      <c r="K15" s="16"/>
      <c r="L15" s="16"/>
      <c r="M15" s="16"/>
      <c r="N15" s="16"/>
      <c r="O15" s="16"/>
      <c r="P15" s="17"/>
    </row>
    <row r="16">
      <c r="A16" s="18"/>
      <c r="B16" s="19"/>
      <c r="C16" s="40"/>
      <c r="D16" s="41" t="str">
        <f>IFERROR(__xludf.DUMMYFUNCTION("""COMPUTED_VALUE"""),"NSE:HAVELLS")</f>
        <v>NSE:HAVELLS</v>
      </c>
      <c r="E16" s="42">
        <f>IFERROR(__xludf.DUMMYFUNCTION("""COMPUTED_VALUE"""),1358.0)</f>
        <v>1358</v>
      </c>
      <c r="F16" s="43">
        <f>IFERROR(__xludf.DUMMYFUNCTION("""COMPUTED_VALUE"""),-8.48470757898922)</f>
        <v>-8.484707579</v>
      </c>
      <c r="G16" s="24"/>
      <c r="H16" s="25"/>
      <c r="I16" s="25"/>
      <c r="J16" s="25"/>
      <c r="K16" s="25"/>
      <c r="L16" s="25"/>
      <c r="M16" s="25"/>
      <c r="N16" s="25"/>
      <c r="O16" s="25"/>
      <c r="P16" s="26"/>
    </row>
    <row r="17">
      <c r="A17" s="18"/>
      <c r="B17" s="19"/>
      <c r="C17" s="19"/>
      <c r="D17" s="45" t="str">
        <f>IFERROR(__xludf.DUMMYFUNCTION("""COMPUTED_VALUE"""),"NSE:UNITDSPR")</f>
        <v>NSE:UNITDSPR</v>
      </c>
      <c r="E17" s="46">
        <f>IFERROR(__xludf.DUMMYFUNCTION("""COMPUTED_VALUE"""),1371.9)</f>
        <v>1371.9</v>
      </c>
      <c r="F17" s="47">
        <f>IFERROR(__xludf.DUMMYFUNCTION("""COMPUTED_VALUE"""),-1.5504070670718972)</f>
        <v>-1.550407067</v>
      </c>
    </row>
    <row r="18">
      <c r="A18" s="18"/>
      <c r="B18" s="19"/>
      <c r="C18" s="19"/>
      <c r="D18" s="45" t="str">
        <f>IFERROR(__xludf.DUMMYFUNCTION("""COMPUTED_VALUE"""),"NSE:PIDILITIND")</f>
        <v>NSE:PIDILITIND</v>
      </c>
      <c r="E18" s="46">
        <f>IFERROR(__xludf.DUMMYFUNCTION("""COMPUTED_VALUE"""),1469.0)</f>
        <v>1469</v>
      </c>
      <c r="F18" s="47">
        <f>IFERROR(__xludf.DUMMYFUNCTION("""COMPUTED_VALUE"""),-1.77694138477126)</f>
        <v>-1.776941385</v>
      </c>
    </row>
    <row r="19">
      <c r="A19" s="18"/>
      <c r="B19" s="19"/>
      <c r="C19" s="19"/>
      <c r="D19" s="45" t="str">
        <f>IFERROR(__xludf.DUMMYFUNCTION("""COMPUTED_VALUE"""),"NSE:BHARTIHEXA")</f>
        <v>NSE:BHARTIHEXA</v>
      </c>
      <c r="E19" s="46">
        <f>IFERROR(__xludf.DUMMYFUNCTION("""COMPUTED_VALUE"""),1588.1)</f>
        <v>1588.1</v>
      </c>
      <c r="F19" s="47">
        <f>IFERROR(__xludf.DUMMYFUNCTION("""COMPUTED_VALUE"""),-9.582691755320438)</f>
        <v>-9.582691755</v>
      </c>
    </row>
    <row r="20">
      <c r="A20" s="18"/>
      <c r="B20" s="19"/>
      <c r="C20" s="19"/>
      <c r="D20" s="45" t="str">
        <f>IFERROR(__xludf.DUMMYFUNCTION("""COMPUTED_VALUE"""),"NSE:ADANIENT")</f>
        <v>NSE:ADANIENT</v>
      </c>
      <c r="E20" s="46">
        <f>IFERROR(__xludf.DUMMYFUNCTION("""COMPUTED_VALUE"""),2124.0)</f>
        <v>2124</v>
      </c>
      <c r="F20" s="47">
        <f>IFERROR(__xludf.DUMMYFUNCTION("""COMPUTED_VALUE"""),-9.02389189365612)</f>
        <v>-9.023891894</v>
      </c>
    </row>
    <row r="21">
      <c r="A21" s="18"/>
      <c r="B21" s="19"/>
      <c r="C21" s="19"/>
      <c r="D21" s="45" t="str">
        <f>IFERROR(__xludf.DUMMYFUNCTION("""COMPUTED_VALUE"""),"NSE:HINDUNILVR")</f>
        <v>NSE:HINDUNILVR</v>
      </c>
      <c r="E21" s="46">
        <f>IFERROR(__xludf.DUMMYFUNCTION("""COMPUTED_VALUE"""),2320.0)</f>
        <v>2320</v>
      </c>
      <c r="F21" s="47">
        <f>IFERROR(__xludf.DUMMYFUNCTION("""COMPUTED_VALUE"""),-4.703048331779641)</f>
        <v>-4.703048332</v>
      </c>
    </row>
    <row r="22">
      <c r="A22" s="18"/>
      <c r="B22" s="19"/>
      <c r="C22" s="19"/>
      <c r="D22" s="45" t="str">
        <f>IFERROR(__xludf.DUMMYFUNCTION("""COMPUTED_VALUE"""),"NSE:FLUOROCHEM")</f>
        <v>NSE:FLUOROCHEM</v>
      </c>
      <c r="E22" s="46">
        <f>IFERROR(__xludf.DUMMYFUNCTION("""COMPUTED_VALUE"""),3305.0)</f>
        <v>3305</v>
      </c>
      <c r="F22" s="47">
        <f>IFERROR(__xludf.DUMMYFUNCTION("""COMPUTED_VALUE"""),-6.761235130109737)</f>
        <v>-6.76123513</v>
      </c>
    </row>
    <row r="23">
      <c r="A23" s="18"/>
      <c r="B23" s="19"/>
      <c r="C23" s="19"/>
      <c r="D23" s="45" t="str">
        <f>IFERROR(__xludf.DUMMYFUNCTION("""COMPUTED_VALUE"""),"NSE:DMART")</f>
        <v>NSE:DMART</v>
      </c>
      <c r="E23" s="46">
        <f>IFERROR(__xludf.DUMMYFUNCTION("""COMPUTED_VALUE"""),3800.0)</f>
        <v>3800</v>
      </c>
      <c r="F23" s="47">
        <f>IFERROR(__xludf.DUMMYFUNCTION("""COMPUTED_VALUE"""),-8.083955631157876)</f>
        <v>-8.083955631</v>
      </c>
    </row>
    <row r="24">
      <c r="A24" s="18"/>
      <c r="B24" s="19"/>
      <c r="C24" s="19"/>
      <c r="D24" s="45" t="str">
        <f>IFERROR(__xludf.DUMMYFUNCTION("""COMPUTED_VALUE"""),"NSE:JKCEMENT")</f>
        <v>NSE:JKCEMENT</v>
      </c>
      <c r="E24" s="46">
        <f>IFERROR(__xludf.DUMMYFUNCTION("""COMPUTED_VALUE"""),5611.0)</f>
        <v>5611</v>
      </c>
      <c r="F24" s="47">
        <f>IFERROR(__xludf.DUMMYFUNCTION("""COMPUTED_VALUE"""),-7.594661537245393)</f>
        <v>-7.594661537</v>
      </c>
    </row>
    <row r="25">
      <c r="A25" s="18"/>
      <c r="B25" s="19"/>
      <c r="C25" s="19"/>
      <c r="D25" s="45"/>
      <c r="E25" s="46"/>
      <c r="F25" s="47"/>
    </row>
    <row r="26">
      <c r="A26" s="18"/>
      <c r="B26" s="19"/>
      <c r="C26" s="19"/>
      <c r="D26" s="45"/>
      <c r="E26" s="46"/>
      <c r="F26" s="47"/>
    </row>
    <row r="27">
      <c r="A27" s="18"/>
      <c r="B27" s="19"/>
      <c r="C27" s="19"/>
      <c r="D27" s="45"/>
      <c r="E27" s="46"/>
      <c r="F27" s="47"/>
    </row>
    <row r="28">
      <c r="A28" s="18"/>
      <c r="B28" s="19"/>
      <c r="C28" s="19"/>
      <c r="D28" s="45"/>
      <c r="E28" s="46"/>
      <c r="F28" s="47"/>
    </row>
    <row r="29">
      <c r="A29" s="18"/>
      <c r="B29" s="19"/>
      <c r="C29" s="19"/>
      <c r="D29" s="45"/>
      <c r="E29" s="46"/>
      <c r="F29" s="47"/>
    </row>
    <row r="30">
      <c r="A30" s="18"/>
      <c r="B30" s="19"/>
      <c r="C30" s="19"/>
      <c r="D30" s="45"/>
      <c r="E30" s="46"/>
      <c r="F30" s="47"/>
    </row>
    <row r="31">
      <c r="A31" s="18"/>
      <c r="B31" s="19"/>
      <c r="C31" s="19"/>
      <c r="D31" s="45"/>
      <c r="E31" s="46"/>
      <c r="F31" s="47"/>
    </row>
    <row r="32">
      <c r="A32" s="18"/>
      <c r="B32" s="19"/>
      <c r="C32" s="19"/>
      <c r="D32" s="45"/>
      <c r="E32" s="46"/>
      <c r="F32" s="47"/>
    </row>
    <row r="33">
      <c r="A33" s="18"/>
      <c r="B33" s="47"/>
      <c r="C33" s="47"/>
      <c r="D33" s="45"/>
      <c r="E33" s="46"/>
      <c r="F33" s="47"/>
    </row>
    <row r="34">
      <c r="A34" s="18"/>
      <c r="B34" s="47"/>
      <c r="C34" s="47"/>
      <c r="D34" s="45"/>
      <c r="E34" s="46"/>
      <c r="F34" s="47"/>
    </row>
    <row r="35">
      <c r="A35" s="18"/>
      <c r="B35" s="47"/>
      <c r="C35" s="47"/>
      <c r="D35" s="45"/>
      <c r="E35" s="46"/>
      <c r="F35" s="47"/>
    </row>
    <row r="36">
      <c r="A36" s="18"/>
      <c r="B36" s="47"/>
      <c r="C36" s="47"/>
      <c r="D36" s="45"/>
      <c r="E36" s="46"/>
      <c r="F36" s="47"/>
    </row>
    <row r="37">
      <c r="A37" s="18"/>
      <c r="B37" s="47"/>
      <c r="C37" s="47"/>
      <c r="D37" s="45"/>
      <c r="E37" s="46"/>
      <c r="F37" s="47"/>
    </row>
    <row r="38">
      <c r="A38" s="18"/>
      <c r="B38" s="47"/>
      <c r="C38" s="47"/>
      <c r="D38" s="45"/>
      <c r="E38" s="46"/>
      <c r="F38" s="47"/>
    </row>
    <row r="39">
      <c r="A39" s="18"/>
      <c r="B39" s="47"/>
      <c r="C39" s="47"/>
      <c r="D39" s="45"/>
      <c r="E39" s="46"/>
      <c r="F39" s="47"/>
    </row>
    <row r="40">
      <c r="A40" s="18"/>
      <c r="B40" s="47"/>
      <c r="C40" s="47"/>
      <c r="D40" s="45"/>
      <c r="E40" s="46"/>
      <c r="F40" s="47"/>
    </row>
    <row r="41">
      <c r="A41" s="18"/>
      <c r="B41" s="47"/>
      <c r="C41" s="47"/>
      <c r="D41" s="45"/>
      <c r="E41" s="46"/>
      <c r="F41" s="47"/>
    </row>
    <row r="42">
      <c r="A42" s="18"/>
      <c r="B42" s="47"/>
      <c r="C42" s="47"/>
      <c r="D42" s="45"/>
      <c r="E42" s="46"/>
      <c r="F42" s="47"/>
    </row>
    <row r="43">
      <c r="A43" s="18"/>
      <c r="B43" s="47"/>
      <c r="C43" s="47"/>
      <c r="D43" s="45"/>
      <c r="E43" s="46"/>
      <c r="F43" s="47"/>
    </row>
    <row r="44">
      <c r="A44" s="18"/>
      <c r="B44" s="47"/>
      <c r="C44" s="47"/>
      <c r="D44" s="45"/>
      <c r="E44" s="46"/>
      <c r="F44" s="47"/>
    </row>
    <row r="45">
      <c r="A45" s="18"/>
      <c r="B45" s="47"/>
      <c r="C45" s="47"/>
      <c r="D45" s="45"/>
      <c r="E45" s="46"/>
      <c r="F45" s="47"/>
    </row>
    <row r="46">
      <c r="A46" s="18"/>
      <c r="B46" s="47"/>
      <c r="C46" s="47"/>
      <c r="D46" s="45"/>
      <c r="E46" s="46"/>
      <c r="F46" s="47"/>
    </row>
    <row r="47">
      <c r="A47" s="18"/>
      <c r="B47" s="47"/>
      <c r="C47" s="47"/>
      <c r="D47" s="46"/>
      <c r="E47" s="46"/>
      <c r="F47" s="47"/>
    </row>
    <row r="48">
      <c r="A48" s="18"/>
      <c r="B48" s="47"/>
      <c r="C48" s="47"/>
      <c r="D48" s="46"/>
      <c r="E48" s="46"/>
      <c r="F48" s="47"/>
    </row>
    <row r="49">
      <c r="A49" s="18"/>
      <c r="B49" s="47"/>
      <c r="C49" s="47"/>
      <c r="D49" s="46"/>
      <c r="E49" s="46"/>
      <c r="F49" s="47"/>
    </row>
    <row r="50">
      <c r="A50" s="18"/>
      <c r="B50" s="47"/>
      <c r="C50" s="47"/>
      <c r="D50" s="46"/>
      <c r="E50" s="46"/>
      <c r="F50" s="47"/>
    </row>
    <row r="51">
      <c r="A51" s="18"/>
      <c r="B51" s="47"/>
      <c r="C51" s="47"/>
      <c r="D51" s="46"/>
      <c r="E51" s="46"/>
      <c r="F51" s="47"/>
    </row>
    <row r="52">
      <c r="A52" s="18"/>
      <c r="B52" s="47"/>
      <c r="C52" s="47"/>
      <c r="D52" s="46"/>
      <c r="E52" s="46"/>
      <c r="F52" s="47"/>
    </row>
    <row r="53">
      <c r="A53" s="18"/>
      <c r="B53" s="47"/>
      <c r="C53" s="47"/>
      <c r="D53" s="46"/>
      <c r="E53" s="46"/>
      <c r="F53" s="47"/>
    </row>
    <row r="54">
      <c r="A54" s="18"/>
      <c r="B54" s="47"/>
      <c r="C54" s="47"/>
      <c r="D54" s="46"/>
      <c r="E54" s="46"/>
      <c r="F54" s="47"/>
    </row>
    <row r="55">
      <c r="A55" s="18"/>
      <c r="B55" s="47"/>
      <c r="C55" s="47"/>
      <c r="D55" s="46"/>
      <c r="E55" s="46"/>
      <c r="F55" s="47"/>
    </row>
    <row r="56">
      <c r="A56" s="18"/>
      <c r="B56" s="47"/>
      <c r="C56" s="47"/>
      <c r="D56" s="46"/>
      <c r="E56" s="46"/>
      <c r="F56" s="47"/>
    </row>
    <row r="57">
      <c r="A57" s="18"/>
      <c r="B57" s="47"/>
      <c r="C57" s="47"/>
      <c r="D57" s="46"/>
      <c r="E57" s="46"/>
      <c r="F57" s="47"/>
    </row>
    <row r="58">
      <c r="A58" s="18"/>
      <c r="B58" s="47"/>
      <c r="C58" s="47"/>
      <c r="D58" s="46"/>
      <c r="E58" s="46"/>
      <c r="F58" s="47"/>
    </row>
    <row r="59">
      <c r="A59" s="18"/>
      <c r="B59" s="47"/>
      <c r="C59" s="47"/>
      <c r="D59" s="46"/>
      <c r="E59" s="46"/>
      <c r="F59" s="47"/>
    </row>
    <row r="60">
      <c r="A60" s="18"/>
      <c r="B60" s="47"/>
      <c r="C60" s="47"/>
      <c r="D60" s="46"/>
      <c r="E60" s="46"/>
      <c r="F60" s="47"/>
    </row>
    <row r="61">
      <c r="A61" s="18"/>
      <c r="B61" s="47"/>
      <c r="C61" s="47"/>
      <c r="D61" s="46"/>
      <c r="E61" s="46"/>
      <c r="F61" s="47"/>
    </row>
    <row r="62">
      <c r="A62" s="18"/>
      <c r="B62" s="47"/>
      <c r="C62" s="47"/>
      <c r="D62" s="46"/>
      <c r="E62" s="46"/>
      <c r="F62" s="47"/>
    </row>
    <row r="63">
      <c r="A63" s="18"/>
      <c r="B63" s="47"/>
      <c r="C63" s="47"/>
      <c r="D63" s="46"/>
      <c r="E63" s="46"/>
      <c r="F63" s="47"/>
    </row>
    <row r="64">
      <c r="A64" s="18"/>
      <c r="B64" s="47"/>
      <c r="C64" s="47"/>
      <c r="D64" s="46"/>
      <c r="E64" s="46"/>
      <c r="F64" s="47"/>
    </row>
    <row r="65">
      <c r="A65" s="18"/>
      <c r="B65" s="47"/>
      <c r="C65" s="47"/>
      <c r="D65" s="46"/>
      <c r="E65" s="46"/>
      <c r="F65" s="47"/>
    </row>
    <row r="66">
      <c r="A66" s="18"/>
      <c r="B66" s="47"/>
      <c r="C66" s="47"/>
      <c r="D66" s="46"/>
      <c r="E66" s="46"/>
      <c r="F66" s="47"/>
    </row>
    <row r="67">
      <c r="A67" s="18"/>
      <c r="B67" s="47"/>
      <c r="C67" s="47"/>
      <c r="D67" s="46"/>
      <c r="E67" s="46"/>
      <c r="F67" s="47"/>
    </row>
    <row r="68">
      <c r="A68" s="18"/>
      <c r="B68" s="47"/>
      <c r="C68" s="47"/>
      <c r="D68" s="46"/>
      <c r="E68" s="46"/>
      <c r="F68" s="47"/>
    </row>
    <row r="69">
      <c r="A69" s="18"/>
      <c r="B69" s="47"/>
      <c r="C69" s="47"/>
      <c r="D69" s="46"/>
      <c r="E69" s="46"/>
      <c r="F69" s="47"/>
    </row>
    <row r="70">
      <c r="A70" s="18"/>
      <c r="B70" s="47"/>
      <c r="C70" s="47"/>
      <c r="D70" s="46"/>
      <c r="E70" s="46"/>
      <c r="F70" s="47"/>
    </row>
    <row r="71">
      <c r="A71" s="18"/>
      <c r="B71" s="47"/>
      <c r="C71" s="47"/>
      <c r="D71" s="46"/>
      <c r="E71" s="46"/>
      <c r="F71" s="47"/>
    </row>
    <row r="72">
      <c r="A72" s="18"/>
      <c r="B72" s="47"/>
      <c r="C72" s="47"/>
      <c r="D72" s="46"/>
      <c r="E72" s="46"/>
      <c r="F72" s="47"/>
    </row>
    <row r="73">
      <c r="A73" s="18"/>
      <c r="B73" s="47"/>
      <c r="C73" s="47"/>
      <c r="D73" s="46"/>
      <c r="E73" s="46"/>
      <c r="F73" s="47"/>
    </row>
    <row r="74">
      <c r="A74" s="18"/>
      <c r="B74" s="47"/>
      <c r="C74" s="47"/>
      <c r="D74" s="46"/>
      <c r="E74" s="46"/>
      <c r="F74" s="47"/>
    </row>
    <row r="75">
      <c r="A75" s="18"/>
      <c r="B75" s="47"/>
      <c r="C75" s="47"/>
      <c r="D75" s="46"/>
      <c r="E75" s="46"/>
      <c r="F75" s="47"/>
    </row>
    <row r="76">
      <c r="A76" s="18"/>
      <c r="B76" s="47"/>
      <c r="C76" s="47"/>
      <c r="D76" s="46"/>
      <c r="E76" s="46"/>
      <c r="F76" s="47"/>
    </row>
    <row r="77">
      <c r="A77" s="18"/>
      <c r="B77" s="47"/>
      <c r="C77" s="47"/>
      <c r="D77" s="46"/>
      <c r="E77" s="46"/>
      <c r="F77" s="47"/>
    </row>
    <row r="78">
      <c r="A78" s="18"/>
      <c r="B78" s="47"/>
      <c r="C78" s="47"/>
      <c r="D78" s="46"/>
      <c r="E78" s="46"/>
      <c r="F78" s="47"/>
    </row>
    <row r="79">
      <c r="A79" s="18"/>
      <c r="B79" s="47"/>
      <c r="C79" s="47"/>
      <c r="D79" s="46"/>
      <c r="E79" s="46"/>
      <c r="F79" s="47"/>
    </row>
    <row r="80">
      <c r="A80" s="18"/>
      <c r="B80" s="47"/>
      <c r="C80" s="47"/>
      <c r="D80" s="46"/>
      <c r="E80" s="46"/>
      <c r="F80" s="47"/>
    </row>
    <row r="81">
      <c r="A81" s="18"/>
      <c r="B81" s="47"/>
      <c r="C81" s="47"/>
      <c r="D81" s="46"/>
      <c r="E81" s="46"/>
      <c r="F81" s="47"/>
    </row>
    <row r="82">
      <c r="A82" s="18"/>
      <c r="B82" s="47"/>
      <c r="C82" s="47"/>
      <c r="D82" s="46"/>
      <c r="E82" s="46"/>
      <c r="F82" s="47"/>
    </row>
    <row r="83">
      <c r="A83" s="18"/>
      <c r="B83" s="47"/>
      <c r="C83" s="47"/>
      <c r="D83" s="46"/>
      <c r="E83" s="46"/>
      <c r="F83" s="47"/>
    </row>
    <row r="84">
      <c r="A84" s="18"/>
      <c r="B84" s="47"/>
      <c r="C84" s="47"/>
      <c r="D84" s="46"/>
      <c r="E84" s="46"/>
      <c r="F84" s="47"/>
    </row>
    <row r="85">
      <c r="A85" s="18"/>
      <c r="B85" s="47"/>
      <c r="C85" s="47"/>
      <c r="D85" s="46"/>
      <c r="E85" s="46"/>
      <c r="F85" s="47"/>
    </row>
    <row r="86">
      <c r="A86" s="18"/>
      <c r="B86" s="47"/>
      <c r="C86" s="47"/>
      <c r="D86" s="46"/>
      <c r="E86" s="46"/>
      <c r="F86" s="47"/>
    </row>
    <row r="87">
      <c r="A87" s="18"/>
      <c r="B87" s="47"/>
      <c r="C87" s="47"/>
      <c r="D87" s="46"/>
      <c r="E87" s="46"/>
      <c r="F87" s="47"/>
    </row>
    <row r="88">
      <c r="A88" s="18"/>
      <c r="B88" s="47"/>
      <c r="C88" s="47"/>
      <c r="D88" s="46"/>
      <c r="E88" s="46"/>
      <c r="F88" s="47"/>
    </row>
    <row r="89">
      <c r="A89" s="18"/>
      <c r="B89" s="47"/>
      <c r="C89" s="47"/>
      <c r="D89" s="46"/>
      <c r="E89" s="46"/>
      <c r="F89" s="47"/>
    </row>
    <row r="90">
      <c r="A90" s="18"/>
      <c r="B90" s="47"/>
      <c r="C90" s="47"/>
      <c r="D90" s="46"/>
      <c r="E90" s="46"/>
      <c r="F90" s="47"/>
    </row>
    <row r="91">
      <c r="A91" s="18"/>
      <c r="B91" s="47"/>
      <c r="C91" s="47"/>
      <c r="D91" s="46"/>
      <c r="E91" s="46"/>
      <c r="F91" s="47"/>
    </row>
    <row r="92">
      <c r="A92" s="18"/>
      <c r="B92" s="47"/>
      <c r="C92" s="47"/>
      <c r="D92" s="46"/>
      <c r="E92" s="46"/>
      <c r="F92" s="47"/>
    </row>
    <row r="93">
      <c r="A93" s="18"/>
      <c r="B93" s="47"/>
      <c r="C93" s="47"/>
      <c r="D93" s="46"/>
      <c r="E93" s="46"/>
      <c r="F93" s="47"/>
    </row>
    <row r="94">
      <c r="A94" s="18"/>
      <c r="B94" s="47"/>
      <c r="C94" s="47"/>
      <c r="D94" s="46"/>
      <c r="E94" s="46"/>
      <c r="F94" s="47"/>
    </row>
    <row r="95">
      <c r="A95" s="18"/>
      <c r="B95" s="47"/>
      <c r="C95" s="47"/>
      <c r="D95" s="46"/>
      <c r="E95" s="46"/>
      <c r="F95" s="47"/>
    </row>
    <row r="96">
      <c r="A96" s="18"/>
      <c r="B96" s="47"/>
      <c r="C96" s="47"/>
      <c r="D96" s="46"/>
      <c r="E96" s="46"/>
      <c r="F96" s="46"/>
    </row>
    <row r="97">
      <c r="A97" s="18"/>
      <c r="B97" s="47"/>
      <c r="C97" s="47"/>
      <c r="D97" s="46"/>
      <c r="E97" s="46"/>
      <c r="F97" s="46"/>
    </row>
    <row r="98">
      <c r="A98" s="18"/>
      <c r="B98" s="47"/>
      <c r="C98" s="47"/>
      <c r="D98" s="46"/>
      <c r="E98" s="46"/>
      <c r="F98" s="46"/>
    </row>
    <row r="99">
      <c r="A99" s="18"/>
      <c r="B99" s="47"/>
      <c r="C99" s="47"/>
      <c r="D99" s="46"/>
      <c r="E99" s="46"/>
      <c r="F99" s="46"/>
    </row>
    <row r="100">
      <c r="A100" s="18"/>
      <c r="B100" s="47"/>
      <c r="C100" s="47"/>
      <c r="D100" s="46"/>
      <c r="E100" s="46"/>
      <c r="F100" s="46"/>
    </row>
    <row r="101">
      <c r="A101" s="18"/>
      <c r="B101" s="47"/>
      <c r="C101" s="47"/>
      <c r="D101" s="46"/>
      <c r="E101" s="46"/>
      <c r="F101" s="46"/>
    </row>
    <row r="102">
      <c r="A102" s="18"/>
      <c r="B102" s="47"/>
      <c r="C102" s="47"/>
      <c r="D102" s="46"/>
      <c r="E102" s="46"/>
      <c r="F102" s="46"/>
    </row>
    <row r="103">
      <c r="A103" s="18"/>
      <c r="B103" s="47"/>
      <c r="C103" s="47"/>
      <c r="D103" s="46"/>
      <c r="E103" s="46"/>
      <c r="F103" s="46"/>
    </row>
    <row r="104">
      <c r="A104" s="18"/>
      <c r="B104" s="47"/>
      <c r="C104" s="47"/>
      <c r="D104" s="46"/>
      <c r="E104" s="46"/>
      <c r="F104" s="46"/>
    </row>
    <row r="105">
      <c r="A105" s="18"/>
      <c r="B105" s="47"/>
      <c r="C105" s="47"/>
      <c r="D105" s="46"/>
      <c r="E105" s="46"/>
      <c r="F105" s="46"/>
    </row>
    <row r="106">
      <c r="A106" s="18"/>
      <c r="B106" s="47"/>
      <c r="C106" s="47"/>
      <c r="D106" s="46"/>
      <c r="E106" s="46"/>
      <c r="F106" s="46"/>
    </row>
    <row r="107">
      <c r="A107" s="18"/>
      <c r="B107" s="47"/>
      <c r="C107" s="47"/>
      <c r="D107" s="46"/>
      <c r="E107" s="46"/>
      <c r="F107" s="46"/>
    </row>
    <row r="108">
      <c r="A108" s="18"/>
      <c r="B108" s="47"/>
      <c r="C108" s="47"/>
      <c r="D108" s="46"/>
      <c r="E108" s="46"/>
      <c r="F108" s="46"/>
    </row>
    <row r="109">
      <c r="A109" s="18"/>
      <c r="B109" s="47"/>
      <c r="C109" s="46"/>
      <c r="D109" s="46"/>
      <c r="E109" s="46"/>
      <c r="F109" s="46"/>
    </row>
    <row r="110">
      <c r="A110" s="18"/>
      <c r="B110" s="47"/>
      <c r="C110" s="46"/>
      <c r="D110" s="46"/>
      <c r="E110" s="46"/>
      <c r="F110" s="46"/>
    </row>
    <row r="111">
      <c r="A111" s="18"/>
      <c r="B111" s="47"/>
      <c r="C111" s="46"/>
      <c r="D111" s="46"/>
      <c r="E111" s="46"/>
      <c r="F111" s="46"/>
    </row>
    <row r="112">
      <c r="A112" s="18"/>
      <c r="B112" s="47"/>
      <c r="C112" s="46"/>
      <c r="D112" s="46"/>
      <c r="E112" s="46"/>
      <c r="F112" s="46"/>
    </row>
    <row r="113">
      <c r="A113" s="18"/>
      <c r="B113" s="47"/>
      <c r="C113" s="46"/>
      <c r="D113" s="46"/>
      <c r="E113" s="46"/>
      <c r="F113" s="46"/>
    </row>
    <row r="114">
      <c r="A114" s="18"/>
      <c r="B114" s="47"/>
      <c r="C114" s="46"/>
      <c r="D114" s="46"/>
      <c r="E114" s="46"/>
      <c r="F114" s="46"/>
    </row>
    <row r="115">
      <c r="A115" s="18"/>
      <c r="B115" s="47"/>
      <c r="C115" s="46"/>
      <c r="D115" s="46"/>
      <c r="E115" s="46"/>
      <c r="F115" s="46"/>
    </row>
    <row r="116">
      <c r="A116" s="18"/>
      <c r="B116" s="47"/>
      <c r="C116" s="46"/>
      <c r="D116" s="46"/>
      <c r="E116" s="46"/>
      <c r="F116" s="46"/>
    </row>
    <row r="117">
      <c r="A117" s="18"/>
      <c r="B117" s="47"/>
      <c r="C117" s="46"/>
      <c r="D117" s="46"/>
      <c r="E117" s="46"/>
      <c r="F117" s="46"/>
    </row>
    <row r="118">
      <c r="A118" s="18"/>
      <c r="B118" s="47"/>
      <c r="C118" s="46"/>
      <c r="D118" s="46"/>
      <c r="E118" s="46"/>
      <c r="F118" s="46"/>
    </row>
    <row r="119">
      <c r="A119" s="18"/>
      <c r="B119" s="47"/>
      <c r="C119" s="46"/>
      <c r="D119" s="46"/>
      <c r="E119" s="46"/>
      <c r="F119" s="46"/>
    </row>
    <row r="120">
      <c r="A120" s="18"/>
      <c r="B120" s="47"/>
      <c r="C120" s="46"/>
      <c r="D120" s="46"/>
      <c r="E120" s="46"/>
      <c r="F120" s="46"/>
    </row>
    <row r="121">
      <c r="A121" s="18"/>
      <c r="B121" s="47"/>
      <c r="C121" s="46"/>
      <c r="D121" s="46"/>
      <c r="E121" s="46"/>
      <c r="F121" s="46"/>
    </row>
    <row r="122">
      <c r="A122" s="18"/>
      <c r="B122" s="47"/>
      <c r="C122" s="46"/>
      <c r="D122" s="46"/>
      <c r="E122" s="46"/>
      <c r="F122" s="46"/>
    </row>
    <row r="123">
      <c r="A123" s="18"/>
      <c r="B123" s="47"/>
      <c r="C123" s="46"/>
      <c r="D123" s="46"/>
      <c r="E123" s="46"/>
      <c r="F123" s="46"/>
    </row>
    <row r="124">
      <c r="A124" s="18"/>
      <c r="B124" s="47"/>
      <c r="C124" s="46"/>
      <c r="D124" s="46"/>
      <c r="E124" s="46"/>
      <c r="F124" s="46"/>
    </row>
    <row r="125">
      <c r="A125" s="18"/>
      <c r="B125" s="47"/>
      <c r="C125" s="46"/>
      <c r="D125" s="46"/>
      <c r="E125" s="46"/>
      <c r="F125" s="46"/>
    </row>
    <row r="126">
      <c r="A126" s="18"/>
      <c r="B126" s="47"/>
      <c r="C126" s="46"/>
      <c r="D126" s="46"/>
      <c r="E126" s="46"/>
      <c r="F126" s="46"/>
    </row>
    <row r="127">
      <c r="A127" s="18"/>
      <c r="B127" s="47"/>
      <c r="C127" s="46"/>
      <c r="D127" s="46"/>
      <c r="E127" s="46"/>
      <c r="F127" s="46"/>
    </row>
    <row r="128">
      <c r="A128" s="18"/>
      <c r="B128" s="47"/>
      <c r="C128" s="46"/>
      <c r="D128" s="46"/>
      <c r="E128" s="46"/>
      <c r="F128" s="46"/>
    </row>
    <row r="129">
      <c r="A129" s="18"/>
      <c r="B129" s="47"/>
      <c r="C129" s="46"/>
      <c r="D129" s="46"/>
      <c r="E129" s="46"/>
      <c r="F129" s="46"/>
    </row>
    <row r="130">
      <c r="A130" s="18"/>
      <c r="B130" s="47"/>
      <c r="C130" s="46"/>
      <c r="D130" s="46"/>
      <c r="E130" s="46"/>
      <c r="F130" s="46"/>
    </row>
    <row r="131">
      <c r="B131" s="48"/>
    </row>
    <row r="132">
      <c r="B132" s="48"/>
    </row>
    <row r="133">
      <c r="B133" s="48"/>
    </row>
    <row r="134">
      <c r="B134" s="48"/>
    </row>
    <row r="135">
      <c r="B135" s="48"/>
    </row>
    <row r="136">
      <c r="B136" s="48"/>
    </row>
    <row r="137">
      <c r="B137" s="48"/>
    </row>
    <row r="138">
      <c r="B138" s="48"/>
    </row>
    <row r="139">
      <c r="B139" s="48"/>
    </row>
    <row r="140">
      <c r="B140" s="48"/>
    </row>
    <row r="141">
      <c r="B141" s="48"/>
    </row>
    <row r="142">
      <c r="B142" s="48"/>
    </row>
    <row r="143">
      <c r="B143" s="48"/>
    </row>
    <row r="144">
      <c r="B144" s="48"/>
    </row>
    <row r="145">
      <c r="B145" s="48"/>
    </row>
    <row r="146">
      <c r="B146" s="48"/>
    </row>
    <row r="147">
      <c r="B147" s="48"/>
    </row>
    <row r="148">
      <c r="B148" s="48"/>
    </row>
    <row r="149">
      <c r="B149" s="48"/>
    </row>
    <row r="150">
      <c r="B150" s="48"/>
    </row>
    <row r="151">
      <c r="B151" s="48"/>
    </row>
    <row r="152">
      <c r="B152" s="48"/>
    </row>
    <row r="153">
      <c r="B153" s="48"/>
    </row>
    <row r="154">
      <c r="B154" s="48"/>
    </row>
    <row r="155">
      <c r="B155" s="48"/>
    </row>
    <row r="156">
      <c r="B156" s="48"/>
    </row>
    <row r="157">
      <c r="B157" s="48"/>
    </row>
    <row r="158">
      <c r="B158" s="48"/>
    </row>
    <row r="159">
      <c r="B159" s="48"/>
    </row>
    <row r="160">
      <c r="B160" s="48"/>
    </row>
    <row r="161">
      <c r="B161" s="48"/>
    </row>
    <row r="162">
      <c r="B162" s="48"/>
    </row>
    <row r="163">
      <c r="B163" s="48"/>
    </row>
    <row r="164">
      <c r="B164" s="48"/>
    </row>
    <row r="165">
      <c r="B165" s="48"/>
    </row>
    <row r="166">
      <c r="B166" s="48"/>
    </row>
    <row r="167">
      <c r="B167" s="48"/>
    </row>
    <row r="168">
      <c r="B168" s="48"/>
    </row>
    <row r="169">
      <c r="B169" s="48"/>
    </row>
    <row r="170">
      <c r="B170" s="48"/>
    </row>
    <row r="171">
      <c r="B171" s="48"/>
    </row>
    <row r="172">
      <c r="B172" s="48"/>
    </row>
    <row r="173">
      <c r="B173" s="48"/>
    </row>
    <row r="174">
      <c r="B174" s="48"/>
    </row>
    <row r="175">
      <c r="B175" s="48"/>
    </row>
    <row r="176">
      <c r="B176" s="48"/>
    </row>
    <row r="177">
      <c r="B177" s="48"/>
    </row>
    <row r="178">
      <c r="B178" s="48"/>
    </row>
    <row r="179">
      <c r="B179" s="48"/>
    </row>
    <row r="180">
      <c r="B180" s="48"/>
    </row>
    <row r="181">
      <c r="B181" s="48"/>
    </row>
    <row r="182">
      <c r="B182" s="48"/>
    </row>
    <row r="183">
      <c r="B183" s="48"/>
    </row>
    <row r="184">
      <c r="B184" s="48"/>
    </row>
    <row r="185">
      <c r="B185" s="48"/>
    </row>
    <row r="186">
      <c r="B186" s="48"/>
    </row>
    <row r="187">
      <c r="B187" s="48"/>
    </row>
    <row r="188">
      <c r="B188" s="48"/>
    </row>
    <row r="189">
      <c r="B189" s="48"/>
    </row>
    <row r="190">
      <c r="B190" s="48"/>
    </row>
    <row r="191">
      <c r="B191" s="48"/>
    </row>
    <row r="192">
      <c r="B192" s="48"/>
    </row>
    <row r="193">
      <c r="B193" s="48"/>
    </row>
    <row r="194">
      <c r="B194" s="48"/>
    </row>
    <row r="195">
      <c r="B195" s="48"/>
    </row>
    <row r="196">
      <c r="B196" s="48"/>
    </row>
    <row r="197">
      <c r="B197" s="48"/>
    </row>
    <row r="198">
      <c r="B198" s="48"/>
    </row>
    <row r="199">
      <c r="B199" s="48"/>
    </row>
    <row r="200">
      <c r="B200" s="48"/>
    </row>
    <row r="201">
      <c r="B201" s="48"/>
    </row>
    <row r="202">
      <c r="B202" s="48"/>
    </row>
    <row r="203">
      <c r="B203" s="48"/>
    </row>
    <row r="204">
      <c r="B204" s="48"/>
    </row>
    <row r="205">
      <c r="B205" s="48"/>
    </row>
    <row r="206">
      <c r="B206" s="48"/>
    </row>
    <row r="207">
      <c r="B207" s="48"/>
    </row>
    <row r="208">
      <c r="B208" s="48"/>
    </row>
    <row r="209">
      <c r="B209" s="48"/>
    </row>
    <row r="210">
      <c r="B210" s="48"/>
    </row>
    <row r="211">
      <c r="B211" s="48"/>
    </row>
    <row r="212">
      <c r="B212" s="48"/>
    </row>
    <row r="213">
      <c r="B213" s="48"/>
    </row>
    <row r="214">
      <c r="B214" s="48"/>
    </row>
    <row r="215">
      <c r="B215" s="48"/>
    </row>
    <row r="216">
      <c r="B216" s="48"/>
    </row>
    <row r="217">
      <c r="B217" s="48"/>
    </row>
    <row r="218">
      <c r="B218" s="48"/>
    </row>
    <row r="219">
      <c r="B219" s="48"/>
    </row>
    <row r="220">
      <c r="B220" s="48"/>
    </row>
    <row r="221">
      <c r="B221" s="48"/>
    </row>
    <row r="222">
      <c r="B222" s="48"/>
    </row>
    <row r="223">
      <c r="B223" s="48"/>
    </row>
    <row r="224">
      <c r="B224" s="48"/>
    </row>
    <row r="225">
      <c r="B225" s="48"/>
    </row>
    <row r="226">
      <c r="B226" s="48"/>
    </row>
    <row r="227">
      <c r="B227" s="48"/>
    </row>
    <row r="228">
      <c r="B228" s="48"/>
    </row>
    <row r="229">
      <c r="B229" s="48"/>
    </row>
    <row r="230">
      <c r="B230" s="48"/>
    </row>
    <row r="231">
      <c r="B231" s="48"/>
    </row>
    <row r="232">
      <c r="B232" s="48"/>
    </row>
    <row r="233">
      <c r="B233" s="48"/>
    </row>
    <row r="234">
      <c r="B234" s="48"/>
    </row>
    <row r="235">
      <c r="B235" s="48"/>
    </row>
    <row r="236">
      <c r="B236" s="48"/>
    </row>
    <row r="237">
      <c r="B237" s="48"/>
    </row>
    <row r="238">
      <c r="B238" s="48"/>
    </row>
    <row r="239">
      <c r="B239" s="48"/>
    </row>
    <row r="240">
      <c r="B240" s="48"/>
    </row>
    <row r="241">
      <c r="B241" s="48"/>
    </row>
    <row r="242">
      <c r="B242" s="48"/>
    </row>
    <row r="243">
      <c r="B243" s="48"/>
    </row>
    <row r="244">
      <c r="B244" s="48"/>
    </row>
    <row r="245">
      <c r="B245" s="48"/>
    </row>
    <row r="246">
      <c r="B246" s="48"/>
    </row>
    <row r="247">
      <c r="B247" s="48"/>
    </row>
    <row r="248">
      <c r="B248" s="48"/>
    </row>
    <row r="249">
      <c r="B249" s="48"/>
    </row>
    <row r="250">
      <c r="B250" s="48"/>
    </row>
    <row r="251">
      <c r="B251" s="48"/>
    </row>
    <row r="252">
      <c r="B252" s="48"/>
    </row>
    <row r="253">
      <c r="B253" s="48"/>
    </row>
    <row r="254">
      <c r="B254" s="48"/>
    </row>
    <row r="255">
      <c r="B255" s="48"/>
    </row>
    <row r="256">
      <c r="B256" s="48"/>
    </row>
    <row r="257">
      <c r="B257" s="48"/>
    </row>
    <row r="258">
      <c r="B258" s="48"/>
    </row>
    <row r="259">
      <c r="B259" s="48"/>
    </row>
    <row r="260">
      <c r="B260" s="48"/>
    </row>
    <row r="261">
      <c r="B261" s="48"/>
    </row>
    <row r="262">
      <c r="B262" s="48"/>
    </row>
    <row r="263">
      <c r="B263" s="48"/>
    </row>
    <row r="264">
      <c r="B264" s="48"/>
    </row>
    <row r="265">
      <c r="B265" s="48"/>
    </row>
    <row r="266">
      <c r="B266" s="48"/>
    </row>
    <row r="267">
      <c r="B267" s="48"/>
    </row>
    <row r="268">
      <c r="B268" s="48"/>
    </row>
    <row r="269">
      <c r="B269" s="48"/>
    </row>
    <row r="270">
      <c r="B270" s="48"/>
    </row>
    <row r="271">
      <c r="B271" s="48"/>
    </row>
    <row r="272">
      <c r="B272" s="48"/>
    </row>
    <row r="273">
      <c r="B273" s="48"/>
    </row>
    <row r="274">
      <c r="B274" s="48"/>
    </row>
    <row r="275">
      <c r="B275" s="48"/>
    </row>
    <row r="276">
      <c r="B276" s="48"/>
    </row>
    <row r="277">
      <c r="B277" s="48"/>
    </row>
    <row r="278">
      <c r="B278" s="48"/>
    </row>
    <row r="279">
      <c r="B279" s="48"/>
    </row>
    <row r="280">
      <c r="B280" s="48"/>
    </row>
    <row r="281">
      <c r="B281" s="48"/>
    </row>
    <row r="282">
      <c r="B282" s="48"/>
    </row>
    <row r="283">
      <c r="B283" s="48"/>
    </row>
    <row r="284">
      <c r="B284" s="48"/>
    </row>
    <row r="285">
      <c r="B285" s="48"/>
    </row>
    <row r="286">
      <c r="B286" s="48"/>
    </row>
    <row r="287">
      <c r="B287" s="48"/>
    </row>
    <row r="288">
      <c r="B288" s="48"/>
    </row>
    <row r="289">
      <c r="B289" s="48"/>
    </row>
    <row r="290">
      <c r="B290" s="48"/>
    </row>
    <row r="291">
      <c r="B291" s="48"/>
    </row>
    <row r="292">
      <c r="B292" s="48"/>
    </row>
    <row r="293">
      <c r="B293" s="48"/>
    </row>
    <row r="294">
      <c r="B294" s="48"/>
    </row>
    <row r="295">
      <c r="B295" s="48"/>
    </row>
    <row r="296">
      <c r="B296" s="48"/>
    </row>
    <row r="297">
      <c r="B297" s="48"/>
    </row>
    <row r="298">
      <c r="B298" s="48"/>
    </row>
    <row r="299">
      <c r="B299" s="48"/>
    </row>
    <row r="300">
      <c r="B300" s="48"/>
    </row>
    <row r="301">
      <c r="B301" s="48"/>
    </row>
    <row r="302">
      <c r="B302" s="48"/>
    </row>
    <row r="303">
      <c r="B303" s="48"/>
    </row>
    <row r="304">
      <c r="B304" s="48"/>
    </row>
    <row r="305">
      <c r="B305" s="48"/>
    </row>
    <row r="306">
      <c r="B306" s="48"/>
    </row>
    <row r="307">
      <c r="B307" s="48"/>
    </row>
    <row r="308">
      <c r="B308" s="48"/>
    </row>
    <row r="309">
      <c r="B309" s="48"/>
    </row>
    <row r="310">
      <c r="B310" s="48"/>
    </row>
    <row r="311">
      <c r="B311" s="48"/>
    </row>
    <row r="312">
      <c r="B312" s="48"/>
    </row>
    <row r="313">
      <c r="B313" s="48"/>
    </row>
    <row r="314">
      <c r="B314" s="48"/>
    </row>
    <row r="315">
      <c r="B315" s="48"/>
    </row>
    <row r="316">
      <c r="B316" s="48"/>
    </row>
    <row r="317">
      <c r="B317" s="48"/>
    </row>
    <row r="318">
      <c r="B318" s="48"/>
    </row>
    <row r="319">
      <c r="B319" s="48"/>
    </row>
    <row r="320">
      <c r="B320" s="48"/>
    </row>
    <row r="321">
      <c r="B321" s="48"/>
    </row>
    <row r="322">
      <c r="B322" s="48"/>
    </row>
    <row r="323">
      <c r="B323" s="48"/>
    </row>
    <row r="324">
      <c r="B324" s="48"/>
    </row>
    <row r="325">
      <c r="B325" s="48"/>
    </row>
    <row r="326">
      <c r="B326" s="48"/>
    </row>
    <row r="327">
      <c r="B327" s="48"/>
    </row>
    <row r="328">
      <c r="B328" s="48"/>
    </row>
    <row r="329">
      <c r="B329" s="48"/>
    </row>
    <row r="330">
      <c r="B330" s="48"/>
    </row>
    <row r="331">
      <c r="B331" s="48"/>
    </row>
    <row r="332">
      <c r="B332" s="48"/>
    </row>
    <row r="333">
      <c r="B333" s="48"/>
    </row>
    <row r="334">
      <c r="B334" s="48"/>
    </row>
    <row r="335">
      <c r="B335" s="48"/>
    </row>
    <row r="336">
      <c r="B336" s="48"/>
    </row>
    <row r="337">
      <c r="B337" s="48"/>
    </row>
    <row r="338">
      <c r="B338" s="48"/>
    </row>
    <row r="339">
      <c r="B339" s="48"/>
    </row>
    <row r="340">
      <c r="B340" s="48"/>
    </row>
    <row r="341">
      <c r="B341" s="48"/>
    </row>
    <row r="342">
      <c r="B342" s="48"/>
    </row>
    <row r="343">
      <c r="B343" s="48"/>
    </row>
    <row r="344">
      <c r="B344" s="48"/>
    </row>
    <row r="345">
      <c r="B345" s="48"/>
    </row>
    <row r="346">
      <c r="B346" s="48"/>
    </row>
    <row r="347">
      <c r="B347" s="48"/>
    </row>
    <row r="348">
      <c r="B348" s="48"/>
    </row>
    <row r="349">
      <c r="B349" s="48"/>
    </row>
    <row r="350">
      <c r="B350" s="48"/>
    </row>
    <row r="351">
      <c r="B351" s="48"/>
    </row>
    <row r="352">
      <c r="B352" s="48"/>
    </row>
    <row r="353">
      <c r="B353" s="48"/>
    </row>
    <row r="354">
      <c r="B354" s="48"/>
    </row>
    <row r="355">
      <c r="B355" s="48"/>
    </row>
    <row r="356">
      <c r="B356" s="48"/>
    </row>
    <row r="357">
      <c r="B357" s="48"/>
    </row>
    <row r="358">
      <c r="B358" s="48"/>
    </row>
    <row r="359">
      <c r="B359" s="48"/>
    </row>
    <row r="360">
      <c r="B360" s="48"/>
    </row>
    <row r="361">
      <c r="B361" s="48"/>
    </row>
    <row r="362">
      <c r="B362" s="48"/>
    </row>
    <row r="363">
      <c r="B363" s="48"/>
    </row>
    <row r="364">
      <c r="B364" s="48"/>
    </row>
    <row r="365">
      <c r="B365" s="48"/>
    </row>
    <row r="366">
      <c r="B366" s="48"/>
    </row>
    <row r="367">
      <c r="B367" s="48"/>
    </row>
    <row r="368">
      <c r="B368" s="48"/>
    </row>
    <row r="369">
      <c r="B369" s="48"/>
    </row>
    <row r="370">
      <c r="B370" s="48"/>
    </row>
    <row r="371">
      <c r="B371" s="48"/>
    </row>
    <row r="372">
      <c r="B372" s="48"/>
    </row>
    <row r="373">
      <c r="B373" s="48"/>
    </row>
    <row r="374">
      <c r="B374" s="48"/>
    </row>
    <row r="375">
      <c r="B375" s="48"/>
    </row>
    <row r="376">
      <c r="B376" s="48"/>
    </row>
    <row r="377">
      <c r="B377" s="48"/>
    </row>
    <row r="378">
      <c r="B378" s="48"/>
    </row>
    <row r="379">
      <c r="B379" s="48"/>
    </row>
    <row r="380">
      <c r="B380" s="48"/>
    </row>
    <row r="381">
      <c r="B381" s="48"/>
    </row>
    <row r="382">
      <c r="B382" s="48"/>
    </row>
    <row r="383">
      <c r="B383" s="48"/>
    </row>
    <row r="384">
      <c r="B384" s="48"/>
    </row>
    <row r="385">
      <c r="B385" s="48"/>
    </row>
    <row r="386">
      <c r="B386" s="48"/>
    </row>
    <row r="387">
      <c r="B387" s="48"/>
    </row>
    <row r="388">
      <c r="B388" s="48"/>
    </row>
    <row r="389">
      <c r="B389" s="48"/>
    </row>
    <row r="390">
      <c r="B390" s="48"/>
    </row>
    <row r="391">
      <c r="B391" s="48"/>
    </row>
    <row r="392">
      <c r="B392" s="48"/>
    </row>
    <row r="393">
      <c r="B393" s="48"/>
    </row>
    <row r="394">
      <c r="B394" s="48"/>
    </row>
    <row r="395">
      <c r="B395" s="48"/>
    </row>
    <row r="396">
      <c r="B396" s="48"/>
    </row>
    <row r="397">
      <c r="B397" s="48"/>
    </row>
    <row r="398">
      <c r="B398" s="48"/>
    </row>
    <row r="399">
      <c r="B399" s="48"/>
    </row>
    <row r="400">
      <c r="B400" s="48"/>
    </row>
    <row r="401">
      <c r="B401" s="48"/>
    </row>
    <row r="402">
      <c r="B402" s="48"/>
    </row>
    <row r="403">
      <c r="B403" s="48"/>
    </row>
    <row r="404">
      <c r="B404" s="48"/>
    </row>
    <row r="405">
      <c r="B405" s="48"/>
    </row>
    <row r="406">
      <c r="B406" s="48"/>
    </row>
    <row r="407">
      <c r="B407" s="48"/>
    </row>
    <row r="408">
      <c r="B408" s="48"/>
    </row>
    <row r="409">
      <c r="B409" s="48"/>
    </row>
    <row r="410">
      <c r="B410" s="48"/>
    </row>
    <row r="411">
      <c r="B411" s="48"/>
    </row>
    <row r="412">
      <c r="B412" s="48"/>
    </row>
    <row r="413">
      <c r="B413" s="48"/>
    </row>
    <row r="414">
      <c r="B414" s="48"/>
    </row>
    <row r="415">
      <c r="B415" s="48"/>
    </row>
    <row r="416">
      <c r="B416" s="48"/>
    </row>
    <row r="417">
      <c r="B417" s="48"/>
    </row>
    <row r="418">
      <c r="B418" s="48"/>
    </row>
    <row r="419">
      <c r="B419" s="48"/>
    </row>
    <row r="420">
      <c r="B420" s="48"/>
    </row>
    <row r="421">
      <c r="B421" s="48"/>
    </row>
    <row r="422">
      <c r="B422" s="48"/>
    </row>
    <row r="423">
      <c r="B423" s="48"/>
    </row>
    <row r="424">
      <c r="B424" s="48"/>
    </row>
    <row r="425">
      <c r="B425" s="48"/>
    </row>
    <row r="426">
      <c r="B426" s="48"/>
    </row>
    <row r="427">
      <c r="B427" s="48"/>
    </row>
    <row r="428">
      <c r="B428" s="48"/>
    </row>
    <row r="429">
      <c r="B429" s="48"/>
    </row>
    <row r="430">
      <c r="B430" s="48"/>
    </row>
    <row r="431">
      <c r="B431" s="48"/>
    </row>
    <row r="432">
      <c r="B432" s="48"/>
    </row>
    <row r="433">
      <c r="B433" s="48"/>
    </row>
    <row r="434">
      <c r="B434" s="48"/>
    </row>
    <row r="435">
      <c r="B435" s="48"/>
    </row>
    <row r="436">
      <c r="B436" s="48"/>
    </row>
    <row r="437">
      <c r="B437" s="48"/>
    </row>
    <row r="438">
      <c r="B438" s="48"/>
    </row>
    <row r="439">
      <c r="B439" s="48"/>
    </row>
    <row r="440">
      <c r="B440" s="48"/>
    </row>
    <row r="441">
      <c r="B441" s="48"/>
    </row>
    <row r="442">
      <c r="B442" s="48"/>
    </row>
    <row r="443">
      <c r="B443" s="48"/>
    </row>
    <row r="444">
      <c r="B444" s="48"/>
    </row>
    <row r="445">
      <c r="B445" s="48"/>
    </row>
    <row r="446">
      <c r="B446" s="48"/>
    </row>
    <row r="447">
      <c r="B447" s="48"/>
    </row>
    <row r="448">
      <c r="B448" s="48"/>
    </row>
    <row r="449">
      <c r="B449" s="48"/>
    </row>
    <row r="450">
      <c r="B450" s="48"/>
    </row>
    <row r="451">
      <c r="B451" s="48"/>
    </row>
    <row r="452">
      <c r="B452" s="48"/>
    </row>
    <row r="453">
      <c r="B453" s="48"/>
    </row>
    <row r="454">
      <c r="B454" s="48"/>
    </row>
    <row r="455">
      <c r="B455" s="48"/>
    </row>
    <row r="456">
      <c r="B456" s="48"/>
    </row>
    <row r="457">
      <c r="B457" s="48"/>
    </row>
    <row r="458">
      <c r="B458" s="48"/>
    </row>
    <row r="459">
      <c r="B459" s="48"/>
    </row>
    <row r="460">
      <c r="B460" s="48"/>
    </row>
    <row r="461">
      <c r="B461" s="48"/>
    </row>
    <row r="462">
      <c r="B462" s="48"/>
    </row>
    <row r="463">
      <c r="B463" s="48"/>
    </row>
    <row r="464">
      <c r="B464" s="48"/>
    </row>
    <row r="465">
      <c r="B465" s="48"/>
    </row>
    <row r="466">
      <c r="B466" s="48"/>
    </row>
    <row r="467">
      <c r="B467" s="48"/>
    </row>
    <row r="468">
      <c r="B468" s="48"/>
    </row>
    <row r="469">
      <c r="B469" s="48"/>
    </row>
    <row r="470">
      <c r="B470" s="48"/>
    </row>
    <row r="471">
      <c r="B471" s="48"/>
    </row>
    <row r="472">
      <c r="B472" s="48"/>
    </row>
    <row r="473">
      <c r="B473" s="48"/>
    </row>
    <row r="474">
      <c r="B474" s="48"/>
    </row>
    <row r="475">
      <c r="B475" s="48"/>
    </row>
    <row r="476">
      <c r="B476" s="48"/>
    </row>
    <row r="477">
      <c r="B477" s="48"/>
    </row>
    <row r="478">
      <c r="B478" s="48"/>
    </row>
    <row r="479">
      <c r="B479" s="48"/>
    </row>
    <row r="480">
      <c r="B480" s="48"/>
    </row>
    <row r="481">
      <c r="B481" s="48"/>
    </row>
    <row r="482">
      <c r="B482" s="48"/>
    </row>
    <row r="483">
      <c r="B483" s="48"/>
    </row>
    <row r="484">
      <c r="B484" s="48"/>
    </row>
    <row r="485">
      <c r="B485" s="48"/>
    </row>
    <row r="486">
      <c r="B486" s="48"/>
    </row>
    <row r="487">
      <c r="B487" s="48"/>
    </row>
    <row r="488">
      <c r="B488" s="48"/>
    </row>
    <row r="489">
      <c r="B489" s="48"/>
    </row>
    <row r="490">
      <c r="B490" s="48"/>
    </row>
    <row r="491">
      <c r="B491" s="48"/>
    </row>
    <row r="492">
      <c r="B492" s="48"/>
    </row>
    <row r="493">
      <c r="B493" s="48"/>
    </row>
    <row r="494">
      <c r="B494" s="48"/>
    </row>
    <row r="495">
      <c r="B495" s="48"/>
    </row>
    <row r="496">
      <c r="B496" s="48"/>
    </row>
    <row r="497">
      <c r="B497" s="48"/>
    </row>
    <row r="498">
      <c r="B498" s="48"/>
    </row>
    <row r="499">
      <c r="B499" s="48"/>
    </row>
    <row r="500">
      <c r="B500" s="48"/>
    </row>
    <row r="501">
      <c r="B501" s="48"/>
    </row>
    <row r="502">
      <c r="B502" s="48"/>
    </row>
    <row r="503">
      <c r="B503" s="48"/>
    </row>
    <row r="504">
      <c r="B504" s="48"/>
    </row>
    <row r="505">
      <c r="B505" s="48"/>
    </row>
    <row r="506">
      <c r="B506" s="48"/>
    </row>
    <row r="507">
      <c r="B507" s="48"/>
    </row>
    <row r="508">
      <c r="B508" s="48"/>
    </row>
    <row r="509">
      <c r="B509" s="48"/>
    </row>
    <row r="510">
      <c r="B510" s="48"/>
    </row>
    <row r="511">
      <c r="B511" s="48"/>
    </row>
    <row r="512">
      <c r="B512" s="48"/>
    </row>
    <row r="513">
      <c r="B513" s="48"/>
    </row>
    <row r="514">
      <c r="B514" s="48"/>
    </row>
    <row r="515">
      <c r="B515" s="48"/>
    </row>
    <row r="516">
      <c r="B516" s="48"/>
    </row>
    <row r="517">
      <c r="B517" s="48"/>
    </row>
    <row r="518">
      <c r="B518" s="48"/>
    </row>
    <row r="519">
      <c r="B519" s="48"/>
    </row>
    <row r="520">
      <c r="B520" s="48"/>
    </row>
    <row r="521">
      <c r="B521" s="48"/>
    </row>
    <row r="522">
      <c r="B522" s="48"/>
    </row>
    <row r="523">
      <c r="B523" s="48"/>
    </row>
    <row r="524">
      <c r="B524" s="48"/>
    </row>
    <row r="525">
      <c r="B525" s="48"/>
    </row>
    <row r="526">
      <c r="B526" s="48"/>
    </row>
    <row r="527">
      <c r="B527" s="48"/>
    </row>
    <row r="528">
      <c r="B528" s="48"/>
    </row>
    <row r="529">
      <c r="B529" s="48"/>
    </row>
    <row r="530">
      <c r="B530" s="48"/>
    </row>
    <row r="531">
      <c r="B531" s="48"/>
    </row>
    <row r="532">
      <c r="B532" s="48"/>
    </row>
    <row r="533">
      <c r="B533" s="48"/>
    </row>
    <row r="534">
      <c r="B534" s="48"/>
    </row>
    <row r="535">
      <c r="B535" s="48"/>
    </row>
    <row r="536">
      <c r="B536" s="48"/>
    </row>
    <row r="537">
      <c r="B537" s="48"/>
    </row>
    <row r="538">
      <c r="B538" s="48"/>
    </row>
    <row r="539">
      <c r="B539" s="48"/>
    </row>
    <row r="540">
      <c r="B540" s="48"/>
    </row>
    <row r="541">
      <c r="B541" s="48"/>
    </row>
    <row r="542">
      <c r="B542" s="48"/>
    </row>
    <row r="543">
      <c r="B543" s="48"/>
    </row>
    <row r="544">
      <c r="B544" s="48"/>
    </row>
    <row r="545">
      <c r="B545" s="48"/>
    </row>
    <row r="546">
      <c r="B546" s="48"/>
    </row>
    <row r="547">
      <c r="B547" s="48"/>
    </row>
    <row r="548">
      <c r="B548" s="48"/>
    </row>
    <row r="549">
      <c r="B549" s="48"/>
    </row>
    <row r="550">
      <c r="B550" s="48"/>
    </row>
    <row r="551">
      <c r="B551" s="48"/>
    </row>
    <row r="552">
      <c r="B552" s="48"/>
    </row>
    <row r="553">
      <c r="B553" s="48"/>
    </row>
    <row r="554">
      <c r="B554" s="48"/>
    </row>
    <row r="555">
      <c r="B555" s="48"/>
    </row>
    <row r="556">
      <c r="B556" s="48"/>
    </row>
    <row r="557">
      <c r="B557" s="48"/>
    </row>
    <row r="558">
      <c r="B558" s="48"/>
    </row>
    <row r="559">
      <c r="B559" s="48"/>
    </row>
    <row r="560">
      <c r="B560" s="48"/>
    </row>
    <row r="561">
      <c r="B561" s="48"/>
    </row>
    <row r="562">
      <c r="B562" s="48"/>
    </row>
    <row r="563">
      <c r="B563" s="48"/>
    </row>
    <row r="564">
      <c r="B564" s="48"/>
    </row>
    <row r="565">
      <c r="B565" s="48"/>
    </row>
    <row r="566">
      <c r="B566" s="48"/>
    </row>
    <row r="567">
      <c r="B567" s="48"/>
    </row>
    <row r="568">
      <c r="B568" s="48"/>
    </row>
    <row r="569">
      <c r="B569" s="48"/>
    </row>
    <row r="570">
      <c r="B570" s="48"/>
    </row>
    <row r="571">
      <c r="B571" s="48"/>
    </row>
    <row r="572">
      <c r="B572" s="48"/>
    </row>
    <row r="573">
      <c r="B573" s="48"/>
    </row>
    <row r="574">
      <c r="B574" s="48"/>
    </row>
    <row r="575">
      <c r="B575" s="48"/>
    </row>
    <row r="576">
      <c r="B576" s="48"/>
    </row>
    <row r="577">
      <c r="B577" s="48"/>
    </row>
    <row r="578">
      <c r="B578" s="48"/>
    </row>
    <row r="579">
      <c r="B579" s="48"/>
    </row>
    <row r="580">
      <c r="B580" s="48"/>
    </row>
    <row r="581">
      <c r="B581" s="48"/>
    </row>
    <row r="582">
      <c r="B582" s="48"/>
    </row>
    <row r="583">
      <c r="B583" s="48"/>
    </row>
    <row r="584">
      <c r="B584" s="48"/>
    </row>
    <row r="585">
      <c r="B585" s="48"/>
    </row>
    <row r="586">
      <c r="B586" s="48"/>
    </row>
    <row r="587">
      <c r="B587" s="48"/>
    </row>
    <row r="588">
      <c r="B588" s="48"/>
    </row>
    <row r="589">
      <c r="B589" s="48"/>
    </row>
    <row r="590">
      <c r="B590" s="48"/>
    </row>
    <row r="591">
      <c r="B591" s="48"/>
    </row>
    <row r="592">
      <c r="B592" s="48"/>
    </row>
    <row r="593">
      <c r="B593" s="48"/>
    </row>
    <row r="594">
      <c r="B594" s="48"/>
    </row>
    <row r="595">
      <c r="B595" s="48"/>
    </row>
    <row r="596">
      <c r="B596" s="48"/>
    </row>
    <row r="597">
      <c r="B597" s="48"/>
    </row>
    <row r="598">
      <c r="B598" s="48"/>
    </row>
    <row r="599">
      <c r="B599" s="48"/>
    </row>
    <row r="600">
      <c r="B600" s="48"/>
    </row>
    <row r="601">
      <c r="B601" s="48"/>
    </row>
    <row r="602">
      <c r="B602" s="48"/>
    </row>
    <row r="603">
      <c r="B603" s="48"/>
    </row>
    <row r="604">
      <c r="B604" s="48"/>
    </row>
    <row r="605">
      <c r="B605" s="48"/>
    </row>
    <row r="606">
      <c r="B606" s="48"/>
    </row>
    <row r="607">
      <c r="B607" s="48"/>
    </row>
    <row r="608">
      <c r="B608" s="48"/>
    </row>
    <row r="609">
      <c r="B609" s="48"/>
    </row>
    <row r="610">
      <c r="B610" s="48"/>
    </row>
    <row r="611">
      <c r="B611" s="48"/>
    </row>
    <row r="612">
      <c r="B612" s="48"/>
    </row>
    <row r="613">
      <c r="B613" s="48"/>
    </row>
    <row r="614">
      <c r="B614" s="48"/>
    </row>
    <row r="615">
      <c r="B615" s="48"/>
    </row>
    <row r="616">
      <c r="B616" s="48"/>
    </row>
    <row r="617">
      <c r="B617" s="48"/>
    </row>
    <row r="618">
      <c r="B618" s="48"/>
    </row>
    <row r="619">
      <c r="B619" s="48"/>
    </row>
    <row r="620">
      <c r="B620" s="48"/>
    </row>
    <row r="621">
      <c r="B621" s="48"/>
    </row>
    <row r="622">
      <c r="B622" s="48"/>
    </row>
    <row r="623">
      <c r="B623" s="48"/>
    </row>
    <row r="624">
      <c r="B624" s="48"/>
    </row>
    <row r="625">
      <c r="B625" s="48"/>
    </row>
    <row r="626">
      <c r="B626" s="48"/>
    </row>
    <row r="627">
      <c r="B627" s="48"/>
    </row>
    <row r="628">
      <c r="B628" s="48"/>
    </row>
    <row r="629">
      <c r="B629" s="48"/>
    </row>
    <row r="630">
      <c r="B630" s="48"/>
    </row>
    <row r="631">
      <c r="B631" s="48"/>
    </row>
    <row r="632">
      <c r="B632" s="48"/>
    </row>
    <row r="633">
      <c r="B633" s="48"/>
    </row>
    <row r="634">
      <c r="B634" s="48"/>
    </row>
    <row r="635">
      <c r="B635" s="48"/>
    </row>
    <row r="636">
      <c r="B636" s="48"/>
    </row>
    <row r="637">
      <c r="B637" s="48"/>
    </row>
    <row r="638">
      <c r="B638" s="48"/>
    </row>
    <row r="639">
      <c r="B639" s="48"/>
    </row>
    <row r="640">
      <c r="B640" s="48"/>
    </row>
    <row r="641">
      <c r="B641" s="48"/>
    </row>
    <row r="642">
      <c r="B642" s="48"/>
    </row>
    <row r="643">
      <c r="B643" s="48"/>
    </row>
    <row r="644">
      <c r="B644" s="48"/>
    </row>
    <row r="645">
      <c r="B645" s="48"/>
    </row>
    <row r="646">
      <c r="B646" s="48"/>
    </row>
    <row r="647">
      <c r="B647" s="48"/>
    </row>
    <row r="648">
      <c r="B648" s="48"/>
    </row>
    <row r="649">
      <c r="B649" s="48"/>
    </row>
    <row r="650">
      <c r="B650" s="48"/>
    </row>
    <row r="651">
      <c r="B651" s="48"/>
    </row>
    <row r="652">
      <c r="B652" s="48"/>
    </row>
    <row r="653">
      <c r="B653" s="48"/>
    </row>
    <row r="654">
      <c r="B654" s="48"/>
    </row>
    <row r="655">
      <c r="B655" s="48"/>
    </row>
    <row r="656">
      <c r="B656" s="48"/>
    </row>
    <row r="657">
      <c r="B657" s="48"/>
    </row>
    <row r="658">
      <c r="B658" s="48"/>
    </row>
    <row r="659">
      <c r="B659" s="48"/>
    </row>
    <row r="660">
      <c r="B660" s="48"/>
    </row>
    <row r="661">
      <c r="B661" s="48"/>
    </row>
    <row r="662">
      <c r="B662" s="48"/>
    </row>
    <row r="663">
      <c r="B663" s="48"/>
    </row>
    <row r="664">
      <c r="B664" s="48"/>
    </row>
    <row r="665">
      <c r="B665" s="48"/>
    </row>
    <row r="666">
      <c r="B666" s="48"/>
    </row>
    <row r="667">
      <c r="B667" s="48"/>
    </row>
    <row r="668">
      <c r="B668" s="48"/>
    </row>
    <row r="669">
      <c r="B669" s="48"/>
    </row>
    <row r="670">
      <c r="B670" s="48"/>
    </row>
    <row r="671">
      <c r="B671" s="48"/>
    </row>
    <row r="672">
      <c r="B672" s="48"/>
    </row>
    <row r="673">
      <c r="B673" s="48"/>
    </row>
    <row r="674">
      <c r="B674" s="48"/>
    </row>
    <row r="675">
      <c r="B675" s="48"/>
    </row>
    <row r="676">
      <c r="B676" s="48"/>
    </row>
    <row r="677">
      <c r="B677" s="48"/>
    </row>
    <row r="678">
      <c r="B678" s="48"/>
    </row>
    <row r="679">
      <c r="B679" s="48"/>
    </row>
    <row r="680">
      <c r="B680" s="48"/>
    </row>
    <row r="681">
      <c r="B681" s="48"/>
    </row>
    <row r="682">
      <c r="B682" s="48"/>
    </row>
    <row r="683">
      <c r="B683" s="48"/>
    </row>
    <row r="684">
      <c r="B684" s="48"/>
    </row>
    <row r="685">
      <c r="B685" s="48"/>
    </row>
    <row r="686">
      <c r="B686" s="48"/>
    </row>
    <row r="687">
      <c r="B687" s="48"/>
    </row>
    <row r="688">
      <c r="B688" s="48"/>
    </row>
    <row r="689">
      <c r="B689" s="48"/>
    </row>
    <row r="690">
      <c r="B690" s="48"/>
    </row>
    <row r="691">
      <c r="B691" s="48"/>
    </row>
    <row r="692">
      <c r="B692" s="48"/>
    </row>
    <row r="693">
      <c r="B693" s="48"/>
    </row>
    <row r="694">
      <c r="B694" s="48"/>
    </row>
    <row r="695">
      <c r="B695" s="48"/>
    </row>
    <row r="696">
      <c r="B696" s="48"/>
    </row>
    <row r="697">
      <c r="B697" s="48"/>
    </row>
    <row r="698">
      <c r="B698" s="48"/>
    </row>
    <row r="699">
      <c r="B699" s="48"/>
    </row>
    <row r="700">
      <c r="B700" s="48"/>
    </row>
    <row r="701">
      <c r="B701" s="48"/>
    </row>
    <row r="702">
      <c r="B702" s="48"/>
    </row>
    <row r="703">
      <c r="B703" s="48"/>
    </row>
    <row r="704">
      <c r="B704" s="48"/>
    </row>
    <row r="705">
      <c r="B705" s="48"/>
    </row>
    <row r="706">
      <c r="B706" s="48"/>
    </row>
    <row r="707">
      <c r="B707" s="48"/>
    </row>
    <row r="708">
      <c r="B708" s="48"/>
    </row>
    <row r="709">
      <c r="B709" s="48"/>
    </row>
    <row r="710">
      <c r="B710" s="48"/>
    </row>
    <row r="711">
      <c r="B711" s="48"/>
    </row>
    <row r="712">
      <c r="B712" s="48"/>
    </row>
    <row r="713">
      <c r="B713" s="48"/>
    </row>
    <row r="714">
      <c r="B714" s="48"/>
    </row>
    <row r="715">
      <c r="B715" s="48"/>
    </row>
    <row r="716">
      <c r="B716" s="48"/>
    </row>
    <row r="717">
      <c r="B717" s="48"/>
    </row>
    <row r="718">
      <c r="B718" s="48"/>
    </row>
    <row r="719">
      <c r="B719" s="48"/>
    </row>
    <row r="720">
      <c r="B720" s="48"/>
    </row>
    <row r="721">
      <c r="B721" s="48"/>
    </row>
    <row r="722">
      <c r="B722" s="48"/>
    </row>
    <row r="723">
      <c r="B723" s="48"/>
    </row>
    <row r="724">
      <c r="B724" s="48"/>
    </row>
    <row r="725">
      <c r="B725" s="48"/>
    </row>
    <row r="726">
      <c r="B726" s="48"/>
    </row>
    <row r="727">
      <c r="B727" s="48"/>
    </row>
    <row r="728">
      <c r="B728" s="48"/>
    </row>
    <row r="729">
      <c r="B729" s="48"/>
    </row>
    <row r="730">
      <c r="B730" s="48"/>
    </row>
    <row r="731">
      <c r="B731" s="48"/>
    </row>
    <row r="732">
      <c r="B732" s="48"/>
    </row>
    <row r="733">
      <c r="B733" s="48"/>
    </row>
    <row r="734">
      <c r="B734" s="48"/>
    </row>
    <row r="735">
      <c r="B735" s="48"/>
    </row>
    <row r="736">
      <c r="B736" s="48"/>
    </row>
    <row r="737">
      <c r="B737" s="48"/>
    </row>
    <row r="738">
      <c r="B738" s="48"/>
    </row>
    <row r="739">
      <c r="B739" s="48"/>
    </row>
    <row r="740">
      <c r="B740" s="48"/>
    </row>
    <row r="741">
      <c r="B741" s="48"/>
    </row>
    <row r="742">
      <c r="B742" s="48"/>
    </row>
    <row r="743">
      <c r="B743" s="48"/>
    </row>
    <row r="744">
      <c r="B744" s="48"/>
    </row>
    <row r="745">
      <c r="B745" s="48"/>
    </row>
    <row r="746">
      <c r="B746" s="48"/>
    </row>
    <row r="747">
      <c r="B747" s="48"/>
    </row>
    <row r="748">
      <c r="B748" s="48"/>
    </row>
    <row r="749">
      <c r="B749" s="48"/>
    </row>
    <row r="750">
      <c r="B750" s="48"/>
    </row>
    <row r="751">
      <c r="B751" s="48"/>
    </row>
    <row r="752">
      <c r="B752" s="48"/>
    </row>
    <row r="753">
      <c r="B753" s="48"/>
    </row>
    <row r="754">
      <c r="B754" s="48"/>
    </row>
    <row r="755">
      <c r="B755" s="48"/>
    </row>
    <row r="756">
      <c r="B756" s="48"/>
    </row>
    <row r="757">
      <c r="B757" s="48"/>
    </row>
    <row r="758">
      <c r="B758" s="48"/>
    </row>
    <row r="759">
      <c r="B759" s="48"/>
    </row>
    <row r="760">
      <c r="B760" s="48"/>
    </row>
    <row r="761">
      <c r="B761" s="48"/>
    </row>
    <row r="762">
      <c r="B762" s="48"/>
    </row>
    <row r="763">
      <c r="B763" s="48"/>
    </row>
    <row r="764">
      <c r="B764" s="48"/>
    </row>
    <row r="765">
      <c r="B765" s="48"/>
    </row>
    <row r="766">
      <c r="B766" s="48"/>
    </row>
    <row r="767">
      <c r="B767" s="48"/>
    </row>
    <row r="768">
      <c r="B768" s="48"/>
    </row>
    <row r="769">
      <c r="B769" s="48"/>
    </row>
    <row r="770">
      <c r="B770" s="48"/>
    </row>
    <row r="771">
      <c r="B771" s="48"/>
    </row>
    <row r="772">
      <c r="B772" s="48"/>
    </row>
    <row r="773">
      <c r="B773" s="48"/>
    </row>
    <row r="774">
      <c r="B774" s="48"/>
    </row>
    <row r="775">
      <c r="B775" s="48"/>
    </row>
    <row r="776">
      <c r="B776" s="48"/>
    </row>
    <row r="777">
      <c r="B777" s="48"/>
    </row>
    <row r="778">
      <c r="B778" s="48"/>
    </row>
    <row r="779">
      <c r="B779" s="48"/>
    </row>
    <row r="780">
      <c r="B780" s="48"/>
    </row>
    <row r="781">
      <c r="B781" s="48"/>
    </row>
    <row r="782">
      <c r="B782" s="48"/>
    </row>
    <row r="783">
      <c r="B783" s="48"/>
    </row>
    <row r="784">
      <c r="B784" s="48"/>
    </row>
    <row r="785">
      <c r="B785" s="48"/>
    </row>
    <row r="786">
      <c r="B786" s="48"/>
    </row>
    <row r="787">
      <c r="B787" s="48"/>
    </row>
    <row r="788">
      <c r="B788" s="48"/>
    </row>
    <row r="789">
      <c r="B789" s="48"/>
    </row>
    <row r="790">
      <c r="B790" s="48"/>
    </row>
    <row r="791">
      <c r="B791" s="48"/>
    </row>
    <row r="792">
      <c r="B792" s="48"/>
    </row>
    <row r="793">
      <c r="B793" s="48"/>
    </row>
    <row r="794">
      <c r="B794" s="48"/>
    </row>
    <row r="795">
      <c r="B795" s="48"/>
    </row>
    <row r="796">
      <c r="B796" s="48"/>
    </row>
    <row r="797">
      <c r="B797" s="48"/>
    </row>
    <row r="798">
      <c r="B798" s="48"/>
    </row>
    <row r="799">
      <c r="B799" s="48"/>
    </row>
    <row r="800">
      <c r="B800" s="48"/>
    </row>
    <row r="801">
      <c r="B801" s="48"/>
    </row>
    <row r="802">
      <c r="B802" s="48"/>
    </row>
    <row r="803">
      <c r="B803" s="48"/>
    </row>
    <row r="804">
      <c r="B804" s="48"/>
    </row>
    <row r="805">
      <c r="B805" s="48"/>
    </row>
    <row r="806">
      <c r="B806" s="48"/>
    </row>
    <row r="807">
      <c r="B807" s="48"/>
    </row>
    <row r="808">
      <c r="B808" s="48"/>
    </row>
    <row r="809">
      <c r="B809" s="48"/>
    </row>
    <row r="810">
      <c r="B810" s="48"/>
    </row>
    <row r="811">
      <c r="B811" s="48"/>
    </row>
    <row r="812">
      <c r="B812" s="48"/>
    </row>
    <row r="813">
      <c r="B813" s="48"/>
    </row>
    <row r="814">
      <c r="B814" s="48"/>
    </row>
    <row r="815">
      <c r="B815" s="48"/>
    </row>
    <row r="816">
      <c r="B816" s="48"/>
    </row>
    <row r="817">
      <c r="B817" s="48"/>
    </row>
    <row r="818">
      <c r="B818" s="48"/>
    </row>
    <row r="819">
      <c r="B819" s="48"/>
    </row>
    <row r="820">
      <c r="B820" s="48"/>
    </row>
    <row r="821">
      <c r="B821" s="48"/>
    </row>
    <row r="822">
      <c r="B822" s="48"/>
    </row>
    <row r="823">
      <c r="B823" s="48"/>
    </row>
    <row r="824">
      <c r="B824" s="48"/>
    </row>
    <row r="825">
      <c r="B825" s="48"/>
    </row>
    <row r="826">
      <c r="B826" s="48"/>
    </row>
    <row r="827">
      <c r="B827" s="48"/>
    </row>
    <row r="828">
      <c r="B828" s="48"/>
    </row>
    <row r="829">
      <c r="B829" s="48"/>
    </row>
    <row r="830">
      <c r="B830" s="48"/>
    </row>
    <row r="831">
      <c r="B831" s="48"/>
    </row>
    <row r="832">
      <c r="B832" s="48"/>
    </row>
    <row r="833">
      <c r="B833" s="48"/>
    </row>
    <row r="834">
      <c r="B834" s="48"/>
    </row>
    <row r="835">
      <c r="B835" s="48"/>
    </row>
    <row r="836">
      <c r="B836" s="48"/>
    </row>
    <row r="837">
      <c r="B837" s="48"/>
    </row>
    <row r="838">
      <c r="B838" s="48"/>
    </row>
    <row r="839">
      <c r="B839" s="48"/>
    </row>
    <row r="840">
      <c r="B840" s="48"/>
    </row>
    <row r="841">
      <c r="B841" s="48"/>
    </row>
    <row r="842">
      <c r="B842" s="48"/>
    </row>
    <row r="843">
      <c r="B843" s="48"/>
    </row>
    <row r="844">
      <c r="B844" s="48"/>
    </row>
    <row r="845">
      <c r="B845" s="48"/>
    </row>
    <row r="846">
      <c r="B846" s="48"/>
    </row>
    <row r="847">
      <c r="B847" s="48"/>
    </row>
    <row r="848">
      <c r="B848" s="48"/>
    </row>
    <row r="849">
      <c r="B849" s="48"/>
    </row>
    <row r="850">
      <c r="B850" s="48"/>
    </row>
    <row r="851">
      <c r="B851" s="48"/>
    </row>
    <row r="852">
      <c r="B852" s="48"/>
    </row>
    <row r="853">
      <c r="B853" s="48"/>
    </row>
    <row r="854">
      <c r="B854" s="48"/>
    </row>
    <row r="855">
      <c r="B855" s="48"/>
    </row>
    <row r="856">
      <c r="B856" s="48"/>
    </row>
    <row r="857">
      <c r="B857" s="48"/>
    </row>
    <row r="858">
      <c r="B858" s="48"/>
    </row>
    <row r="859">
      <c r="B859" s="48"/>
    </row>
    <row r="860">
      <c r="B860" s="48"/>
    </row>
    <row r="861">
      <c r="B861" s="48"/>
    </row>
    <row r="862">
      <c r="B862" s="48"/>
    </row>
    <row r="863">
      <c r="B863" s="48"/>
    </row>
    <row r="864">
      <c r="B864" s="48"/>
    </row>
    <row r="865">
      <c r="B865" s="48"/>
    </row>
    <row r="866">
      <c r="B866" s="48"/>
    </row>
    <row r="867">
      <c r="B867" s="48"/>
    </row>
    <row r="868">
      <c r="B868" s="48"/>
    </row>
    <row r="869">
      <c r="B869" s="48"/>
    </row>
    <row r="870">
      <c r="B870" s="48"/>
    </row>
    <row r="871">
      <c r="B871" s="48"/>
    </row>
    <row r="872">
      <c r="B872" s="48"/>
    </row>
    <row r="873">
      <c r="B873" s="48"/>
    </row>
    <row r="874">
      <c r="B874" s="48"/>
    </row>
    <row r="875">
      <c r="B875" s="48"/>
    </row>
    <row r="876">
      <c r="B876" s="48"/>
    </row>
    <row r="877">
      <c r="B877" s="48"/>
    </row>
    <row r="878">
      <c r="B878" s="48"/>
    </row>
    <row r="879">
      <c r="B879" s="48"/>
    </row>
    <row r="880">
      <c r="B880" s="48"/>
    </row>
    <row r="881">
      <c r="B881" s="48"/>
    </row>
    <row r="882">
      <c r="B882" s="48"/>
    </row>
    <row r="883">
      <c r="B883" s="48"/>
    </row>
    <row r="884">
      <c r="B884" s="48"/>
    </row>
    <row r="885">
      <c r="B885" s="48"/>
    </row>
    <row r="886">
      <c r="B886" s="48"/>
    </row>
    <row r="887">
      <c r="B887" s="48"/>
    </row>
    <row r="888">
      <c r="B888" s="48"/>
    </row>
    <row r="889">
      <c r="B889" s="48"/>
    </row>
    <row r="890">
      <c r="B890" s="48"/>
    </row>
    <row r="891">
      <c r="B891" s="48"/>
    </row>
    <row r="892">
      <c r="B892" s="48"/>
    </row>
    <row r="893">
      <c r="B893" s="48"/>
    </row>
    <row r="894">
      <c r="B894" s="48"/>
    </row>
    <row r="895">
      <c r="B895" s="48"/>
    </row>
    <row r="896">
      <c r="B896" s="48"/>
    </row>
    <row r="897">
      <c r="B897" s="48"/>
    </row>
    <row r="898">
      <c r="B898" s="48"/>
    </row>
    <row r="899">
      <c r="B899" s="48"/>
    </row>
    <row r="900">
      <c r="B900" s="48"/>
    </row>
    <row r="901">
      <c r="B901" s="48"/>
    </row>
    <row r="902">
      <c r="B902" s="48"/>
    </row>
    <row r="903">
      <c r="B903" s="48"/>
    </row>
    <row r="904">
      <c r="B904" s="48"/>
    </row>
    <row r="905">
      <c r="B905" s="48"/>
    </row>
    <row r="906">
      <c r="B906" s="48"/>
    </row>
    <row r="907">
      <c r="B907" s="48"/>
    </row>
    <row r="908">
      <c r="B908" s="48"/>
    </row>
    <row r="909">
      <c r="B909" s="48"/>
    </row>
    <row r="910">
      <c r="B910" s="48"/>
    </row>
    <row r="911">
      <c r="B911" s="48"/>
    </row>
    <row r="912">
      <c r="B912" s="48"/>
    </row>
    <row r="913">
      <c r="B913" s="48"/>
    </row>
    <row r="914">
      <c r="B914" s="48"/>
    </row>
    <row r="915">
      <c r="B915" s="48"/>
    </row>
    <row r="916">
      <c r="B916" s="48"/>
    </row>
    <row r="917">
      <c r="B917" s="48"/>
    </row>
    <row r="918">
      <c r="B918" s="48"/>
    </row>
    <row r="919">
      <c r="B919" s="48"/>
    </row>
    <row r="920">
      <c r="B920" s="48"/>
    </row>
    <row r="921">
      <c r="B921" s="48"/>
    </row>
    <row r="922">
      <c r="B922" s="48"/>
    </row>
    <row r="923">
      <c r="B923" s="48"/>
    </row>
    <row r="924">
      <c r="B924" s="48"/>
    </row>
    <row r="925">
      <c r="B925" s="48"/>
    </row>
    <row r="926">
      <c r="B926" s="48"/>
    </row>
    <row r="927">
      <c r="B927" s="48"/>
    </row>
    <row r="928">
      <c r="B928" s="48"/>
    </row>
    <row r="929">
      <c r="B929" s="48"/>
    </row>
    <row r="930">
      <c r="B930" s="48"/>
    </row>
    <row r="931">
      <c r="B931" s="48"/>
    </row>
    <row r="932">
      <c r="B932" s="48"/>
    </row>
    <row r="933">
      <c r="B933" s="48"/>
    </row>
    <row r="934">
      <c r="B934" s="48"/>
    </row>
    <row r="935">
      <c r="B935" s="48"/>
    </row>
    <row r="936">
      <c r="B936" s="48"/>
    </row>
    <row r="937">
      <c r="B937" s="48"/>
    </row>
    <row r="938">
      <c r="B938" s="48"/>
    </row>
    <row r="939">
      <c r="B939" s="48"/>
    </row>
    <row r="940">
      <c r="B940" s="48"/>
    </row>
    <row r="941">
      <c r="B941" s="48"/>
    </row>
    <row r="942">
      <c r="B942" s="48"/>
    </row>
    <row r="943">
      <c r="B943" s="48"/>
    </row>
    <row r="944">
      <c r="B944" s="48"/>
    </row>
    <row r="945">
      <c r="B945" s="48"/>
    </row>
    <row r="946">
      <c r="B946" s="48"/>
    </row>
    <row r="947">
      <c r="B947" s="48"/>
    </row>
    <row r="948">
      <c r="B948" s="48"/>
    </row>
    <row r="949">
      <c r="B949" s="48"/>
    </row>
    <row r="950">
      <c r="B950" s="48"/>
    </row>
    <row r="951">
      <c r="B951" s="48"/>
    </row>
    <row r="952">
      <c r="B952" s="48"/>
    </row>
    <row r="953">
      <c r="B953" s="48"/>
    </row>
    <row r="954">
      <c r="B954" s="48"/>
    </row>
    <row r="955">
      <c r="B955" s="48"/>
    </row>
    <row r="956">
      <c r="B956" s="48"/>
    </row>
    <row r="957">
      <c r="B957" s="48"/>
    </row>
    <row r="958">
      <c r="B958" s="48"/>
    </row>
    <row r="959">
      <c r="B959" s="48"/>
    </row>
    <row r="960">
      <c r="B960" s="48"/>
    </row>
    <row r="961">
      <c r="B961" s="48"/>
    </row>
    <row r="962">
      <c r="B962" s="48"/>
    </row>
    <row r="963">
      <c r="B963" s="48"/>
    </row>
    <row r="964">
      <c r="B964" s="48"/>
    </row>
    <row r="965">
      <c r="B965" s="48"/>
    </row>
    <row r="966">
      <c r="B966" s="48"/>
    </row>
    <row r="967">
      <c r="B967" s="48"/>
    </row>
    <row r="968">
      <c r="B968" s="48"/>
    </row>
    <row r="969">
      <c r="B969" s="48"/>
    </row>
    <row r="970">
      <c r="B970" s="48"/>
    </row>
    <row r="971">
      <c r="B971" s="48"/>
    </row>
    <row r="972">
      <c r="B972" s="48"/>
    </row>
    <row r="973">
      <c r="B973" s="48"/>
    </row>
    <row r="974">
      <c r="B974" s="48"/>
    </row>
    <row r="975">
      <c r="B975" s="48"/>
    </row>
    <row r="976">
      <c r="B976" s="48"/>
    </row>
    <row r="977">
      <c r="B977" s="48"/>
    </row>
    <row r="978">
      <c r="B978" s="48"/>
    </row>
    <row r="979">
      <c r="B979" s="48"/>
    </row>
    <row r="980">
      <c r="B980" s="48"/>
    </row>
    <row r="981">
      <c r="B981" s="48"/>
    </row>
    <row r="982">
      <c r="B982" s="48"/>
    </row>
    <row r="983">
      <c r="B983" s="48"/>
    </row>
    <row r="984">
      <c r="B984" s="48"/>
    </row>
    <row r="985">
      <c r="B985" s="48"/>
    </row>
    <row r="986">
      <c r="B986" s="48"/>
    </row>
    <row r="987">
      <c r="B987" s="48"/>
    </row>
    <row r="988">
      <c r="B988" s="48"/>
    </row>
    <row r="989">
      <c r="B989" s="48"/>
    </row>
    <row r="990">
      <c r="B990" s="48"/>
    </row>
    <row r="991">
      <c r="B991" s="48"/>
    </row>
    <row r="992">
      <c r="B992" s="48"/>
    </row>
    <row r="993">
      <c r="B993" s="48"/>
    </row>
    <row r="994">
      <c r="B994" s="48"/>
    </row>
    <row r="995">
      <c r="B995" s="48"/>
    </row>
    <row r="996">
      <c r="B996" s="48"/>
    </row>
    <row r="997">
      <c r="B997" s="48"/>
    </row>
    <row r="998">
      <c r="B998" s="48"/>
    </row>
    <row r="999">
      <c r="B999" s="48"/>
    </row>
    <row r="1000">
      <c r="B1000" s="48"/>
    </row>
  </sheetData>
  <mergeCells count="7">
    <mergeCell ref="A1:C1"/>
    <mergeCell ref="D1:F1"/>
    <mergeCell ref="H2:P2"/>
    <mergeCell ref="G3:P8"/>
    <mergeCell ref="G10:P13"/>
    <mergeCell ref="G14:H14"/>
    <mergeCell ref="G15:P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6.5"/>
    <col customWidth="1" min="3" max="5" width="8.38"/>
    <col customWidth="1" min="6" max="6" width="16.0"/>
    <col customWidth="1" min="7" max="7" width="19.75"/>
    <col customWidth="1" min="8" max="9" width="16.0"/>
  </cols>
  <sheetData>
    <row r="1">
      <c r="A1" s="49" t="s">
        <v>12</v>
      </c>
      <c r="B1" s="50" t="s">
        <v>13</v>
      </c>
      <c r="C1" s="50" t="s">
        <v>14</v>
      </c>
      <c r="D1" s="50" t="s">
        <v>15</v>
      </c>
      <c r="E1" s="50" t="s">
        <v>16</v>
      </c>
      <c r="F1" s="50" t="s">
        <v>17</v>
      </c>
      <c r="G1" s="51" t="s">
        <v>18</v>
      </c>
      <c r="H1" s="51"/>
      <c r="I1" s="51"/>
    </row>
    <row r="2">
      <c r="A2" s="52" t="s">
        <v>19</v>
      </c>
      <c r="B2" s="53">
        <f>IFERROR(__xludf.DUMMYFUNCTION("GOOGLEFINANCE(A2,""price"")"),10160.0)</f>
        <v>10160</v>
      </c>
      <c r="C2" s="54">
        <f>IFERROR(__xludf.DUMMYFUNCTION("AVERAGE(QUERY(SORT(GOOGLEFINANCE(A2,""price"",TODAY()-150,TODAY()),1,0),""select Col2 limit 50""))"),11389.48)</f>
        <v>11389.48</v>
      </c>
      <c r="D2" s="54">
        <f>IFERROR(__xludf.DUMMYFUNCTION("AVERAGE(QUERY(SORT(GOOGLEFINANCE(A2,""price"",TODAY()-300,TODAY()),1,0),""select Col2 limit 100""))"),13270.26)</f>
        <v>13270.26</v>
      </c>
      <c r="E2" s="54">
        <f>IFERROR(__xludf.DUMMYFUNCTION("AVERAGE(QUERY(SORT(GOOGLEFINANCE(A2,""price"",TODAY()-500,TODAY()),1,0),""select Col2 limit 200""))"),14720.045)</f>
        <v>14720.045</v>
      </c>
      <c r="F2" s="46" t="str">
        <f t="shared" ref="F2:F251" si="1">IF(AND(B2&gt;C2, C2&gt;D2, D2&gt;E2, G2&gt;=0.01, G2&lt;=10), "In Bull Run", IF(AND(B2&lt;C2, C2&lt;D2, D2&lt;E2, G2&gt;=-10, G2&lt;=-0.01), "In Bear Run", "Unconfirmed"))</f>
        <v>Unconfirmed</v>
      </c>
      <c r="G2" s="48">
        <f t="shared" ref="G2:G251" si="2">((B2-E2)*100)/E2</f>
        <v>-30.97847187</v>
      </c>
    </row>
    <row r="3">
      <c r="A3" s="52" t="s">
        <v>20</v>
      </c>
      <c r="B3" s="53">
        <f>IFERROR(__xludf.DUMMYFUNCTION("GOOGLEFINANCE(A3,""price"")"),2050.0)</f>
        <v>2050</v>
      </c>
      <c r="C3" s="54">
        <f>IFERROR(__xludf.DUMMYFUNCTION("AVERAGE(QUERY(SORT(GOOGLEFINANCE(A3,""price"",TODAY()-150,TODAY()),1,0),""select Col2 limit 50""))"),2259.5940000000005)</f>
        <v>2259.594</v>
      </c>
      <c r="D3" s="54">
        <f>IFERROR(__xludf.DUMMYFUNCTION("AVERAGE(QUERY(SORT(GOOGLEFINANCE(A3,""price"",TODAY()-300,TODAY()),1,0),""select Col2 limit 100""))"),2644.114)</f>
        <v>2644.114</v>
      </c>
      <c r="E3" s="54">
        <f>IFERROR(__xludf.DUMMYFUNCTION("AVERAGE(QUERY(SORT(GOOGLEFINANCE(A3,""price"",TODAY()-500,TODAY()),1,0),""select Col2 limit 200""))"),2881.4746999999993)</f>
        <v>2881.4747</v>
      </c>
      <c r="F3" s="46" t="str">
        <f t="shared" si="1"/>
        <v>Unconfirmed</v>
      </c>
      <c r="G3" s="48">
        <f t="shared" si="2"/>
        <v>-28.8558737</v>
      </c>
    </row>
    <row r="4">
      <c r="A4" s="52" t="s">
        <v>21</v>
      </c>
      <c r="B4" s="53">
        <f>IFERROR(__xludf.DUMMYFUNCTION("GOOGLEFINANCE(A4,""price"")"),2964.0)</f>
        <v>2964</v>
      </c>
      <c r="C4" s="54">
        <f>IFERROR(__xludf.DUMMYFUNCTION("AVERAGE(QUERY(SORT(GOOGLEFINANCE(A4,""price"",TODAY()-150,TODAY()),1,0),""select Col2 limit 50""))"),2592.2439999999997)</f>
        <v>2592.244</v>
      </c>
      <c r="D4" s="54">
        <f>IFERROR(__xludf.DUMMYFUNCTION("AVERAGE(QUERY(SORT(GOOGLEFINANCE(A4,""price"",TODAY()-300,TODAY()),1,0),""select Col2 limit 100""))"),2876.8489999999997)</f>
        <v>2876.849</v>
      </c>
      <c r="E4" s="54">
        <f>IFERROR(__xludf.DUMMYFUNCTION("AVERAGE(QUERY(SORT(GOOGLEFINANCE(A4,""price"",TODAY()-500,TODAY()),1,0),""select Col2 limit 200""))"),3015.8639999999996)</f>
        <v>3015.864</v>
      </c>
      <c r="F4" s="46" t="str">
        <f t="shared" si="1"/>
        <v>Unconfirmed</v>
      </c>
      <c r="G4" s="48">
        <f t="shared" si="2"/>
        <v>-1.719706194</v>
      </c>
    </row>
    <row r="5">
      <c r="A5" s="52" t="s">
        <v>22</v>
      </c>
      <c r="B5" s="53">
        <f>IFERROR(__xludf.DUMMYFUNCTION("GOOGLEFINANCE(A5,""price"")"),70.4)</f>
        <v>70.4</v>
      </c>
      <c r="C5" s="54">
        <f>IFERROR(__xludf.DUMMYFUNCTION("AVERAGE(QUERY(SORT(GOOGLEFINANCE(A5,""price"",TODAY()-150,TODAY()),1,0),""select Col2 limit 50""))"),75.26119999999999)</f>
        <v>75.2612</v>
      </c>
      <c r="D5" s="54">
        <f>IFERROR(__xludf.DUMMYFUNCTION("AVERAGE(QUERY(SORT(GOOGLEFINANCE(A5,""price"",TODAY()-300,TODAY()),1,0),""select Col2 limit 100""))"),78.93620000000001)</f>
        <v>78.9362</v>
      </c>
      <c r="E5" s="54">
        <f>IFERROR(__xludf.DUMMYFUNCTION("AVERAGE(QUERY(SORT(GOOGLEFINANCE(A5,""price"",TODAY()-500,TODAY()),1,0),""select Col2 limit 200""))"),87.88235)</f>
        <v>87.88235</v>
      </c>
      <c r="F5" s="46" t="str">
        <f t="shared" si="1"/>
        <v>Unconfirmed</v>
      </c>
      <c r="G5" s="48">
        <f t="shared" si="2"/>
        <v>-19.89290227</v>
      </c>
    </row>
    <row r="6">
      <c r="A6" s="52" t="s">
        <v>23</v>
      </c>
      <c r="B6" s="53">
        <f>IFERROR(__xludf.DUMMYFUNCTION("GOOGLEFINANCE(A6,""price"")"),31100.0)</f>
        <v>31100</v>
      </c>
      <c r="C6" s="54">
        <f>IFERROR(__xludf.DUMMYFUNCTION("AVERAGE(QUERY(SORT(GOOGLEFINANCE(A6,""price"",TODAY()-150,TODAY()),1,0),""select Col2 limit 50""))"),34231.8)</f>
        <v>34231.8</v>
      </c>
      <c r="D6" s="54">
        <f>IFERROR(__xludf.DUMMYFUNCTION("AVERAGE(QUERY(SORT(GOOGLEFINANCE(A6,""price"",TODAY()-300,TODAY()),1,0),""select Col2 limit 100""))"),36846.3)</f>
        <v>36846.3</v>
      </c>
      <c r="E6" s="54">
        <f>IFERROR(__xludf.DUMMYFUNCTION("AVERAGE(QUERY(SORT(GOOGLEFINANCE(A6,""price"",TODAY()-500,TODAY()),1,0),""select Col2 limit 200""))"),41378.0)</f>
        <v>41378</v>
      </c>
      <c r="F6" s="46" t="str">
        <f t="shared" si="1"/>
        <v>Unconfirmed</v>
      </c>
      <c r="G6" s="48">
        <f t="shared" si="2"/>
        <v>-24.83928658</v>
      </c>
    </row>
    <row r="7">
      <c r="A7" s="52" t="s">
        <v>24</v>
      </c>
      <c r="B7" s="53">
        <f>IFERROR(__xludf.DUMMYFUNCTION("GOOGLEFINANCE(A7,""price"")"),85.49)</f>
        <v>85.49</v>
      </c>
      <c r="C7" s="54">
        <f>IFERROR(__xludf.DUMMYFUNCTION("AVERAGE(QUERY(SORT(GOOGLEFINANCE(A7,""price"",TODAY()-150,TODAY()),1,0),""select Col2 limit 50""))"),91.58819999999997)</f>
        <v>91.5882</v>
      </c>
      <c r="D7" s="54">
        <f>IFERROR(__xludf.DUMMYFUNCTION("AVERAGE(QUERY(SORT(GOOGLEFINANCE(A7,""price"",TODAY()-300,TODAY()),1,0),""select Col2 limit 100""))"),98.4588)</f>
        <v>98.4588</v>
      </c>
      <c r="E7" s="54">
        <f>IFERROR(__xludf.DUMMYFUNCTION("AVERAGE(QUERY(SORT(GOOGLEFINANCE(A7,""price"",TODAY()-500,TODAY()),1,0),""select Col2 limit 200""))"),108.09974999999997)</f>
        <v>108.09975</v>
      </c>
      <c r="F7" s="46" t="str">
        <f t="shared" si="1"/>
        <v>Unconfirmed</v>
      </c>
      <c r="G7" s="48">
        <f t="shared" si="2"/>
        <v>-20.91563579</v>
      </c>
    </row>
    <row r="8">
      <c r="A8" s="52" t="s">
        <v>25</v>
      </c>
      <c r="B8" s="53">
        <f>IFERROR(__xludf.DUMMYFUNCTION("GOOGLEFINANCE(A8,""price"")"),3835.0)</f>
        <v>3835</v>
      </c>
      <c r="C8" s="54">
        <f>IFERROR(__xludf.DUMMYFUNCTION("AVERAGE(QUERY(SORT(GOOGLEFINANCE(A8,""price"",TODAY()-150,TODAY()),1,0),""select Col2 limit 50""))"),4046.8)</f>
        <v>4046.8</v>
      </c>
      <c r="D8" s="54">
        <f>IFERROR(__xludf.DUMMYFUNCTION("AVERAGE(QUERY(SORT(GOOGLEFINANCE(A8,""price"",TODAY()-300,TODAY()),1,0),""select Col2 limit 100""))"),4247.673000000001)</f>
        <v>4247.673</v>
      </c>
      <c r="E8" s="54">
        <f>IFERROR(__xludf.DUMMYFUNCTION("AVERAGE(QUERY(SORT(GOOGLEFINANCE(A8,""price"",TODAY()-500,TODAY()),1,0),""select Col2 limit 200""))"),4833.8115)</f>
        <v>4833.8115</v>
      </c>
      <c r="F8" s="46" t="str">
        <f t="shared" si="1"/>
        <v>Unconfirmed</v>
      </c>
      <c r="G8" s="48">
        <f t="shared" si="2"/>
        <v>-20.6630213</v>
      </c>
    </row>
    <row r="9">
      <c r="A9" s="52" t="s">
        <v>26</v>
      </c>
      <c r="B9" s="53">
        <f>IFERROR(__xludf.DUMMYFUNCTION("GOOGLEFINANCE(A9,""price"")"),714.2)</f>
        <v>714.2</v>
      </c>
      <c r="C9" s="54">
        <f>IFERROR(__xludf.DUMMYFUNCTION("AVERAGE(QUERY(SORT(GOOGLEFINANCE(A9,""price"",TODAY()-150,TODAY()),1,0),""select Col2 limit 50""))"),776.375)</f>
        <v>776.375</v>
      </c>
      <c r="D9" s="54">
        <f>IFERROR(__xludf.DUMMYFUNCTION("AVERAGE(QUERY(SORT(GOOGLEFINANCE(A9,""price"",TODAY()-300,TODAY()),1,0),""select Col2 limit 100""))"),890.5484999999999)</f>
        <v>890.5485</v>
      </c>
      <c r="E9" s="54">
        <f>IFERROR(__xludf.DUMMYFUNCTION("AVERAGE(QUERY(SORT(GOOGLEFINANCE(A9,""price"",TODAY()-500,TODAY()),1,0),""select Col2 limit 200""))"),966.1570000000004)</f>
        <v>966.157</v>
      </c>
      <c r="F9" s="46" t="str">
        <f t="shared" si="1"/>
        <v>Unconfirmed</v>
      </c>
      <c r="G9" s="48">
        <f t="shared" si="2"/>
        <v>-26.07826678</v>
      </c>
    </row>
    <row r="10">
      <c r="A10" s="52" t="s">
        <v>27</v>
      </c>
      <c r="B10" s="53">
        <f>IFERROR(__xludf.DUMMYFUNCTION("GOOGLEFINANCE(A10,""price"")"),1588.0)</f>
        <v>1588</v>
      </c>
      <c r="C10" s="54">
        <f>IFERROR(__xludf.DUMMYFUNCTION("AVERAGE(QUERY(SORT(GOOGLEFINANCE(A10,""price"",TODAY()-150,TODAY()),1,0),""select Col2 limit 50""))"),1557.9559999999997)</f>
        <v>1557.956</v>
      </c>
      <c r="D10" s="54">
        <f>IFERROR(__xludf.DUMMYFUNCTION("AVERAGE(QUERY(SORT(GOOGLEFINANCE(A10,""price"",TODAY()-300,TODAY()),1,0),""select Col2 limit 100""))"),1652.2449999999992)</f>
        <v>1652.245</v>
      </c>
      <c r="E10" s="54">
        <f>IFERROR(__xludf.DUMMYFUNCTION("AVERAGE(QUERY(SORT(GOOGLEFINANCE(A10,""price"",TODAY()-500,TODAY()),1,0),""select Col2 limit 200""))"),1793.0639999999992)</f>
        <v>1793.064</v>
      </c>
      <c r="F10" s="46" t="str">
        <f t="shared" si="1"/>
        <v>Unconfirmed</v>
      </c>
      <c r="G10" s="48">
        <f t="shared" si="2"/>
        <v>-11.43651314</v>
      </c>
    </row>
    <row r="11">
      <c r="A11" s="52" t="s">
        <v>28</v>
      </c>
      <c r="B11" s="53">
        <f>IFERROR(__xludf.DUMMYFUNCTION("GOOGLEFINANCE(A11,""price"")"),970.95)</f>
        <v>970.95</v>
      </c>
      <c r="C11" s="54">
        <f>IFERROR(__xludf.DUMMYFUNCTION("AVERAGE(QUERY(SORT(GOOGLEFINANCE(A11,""price"",TODAY()-150,TODAY()),1,0),""select Col2 limit 50""))"),1047.109)</f>
        <v>1047.109</v>
      </c>
      <c r="D11" s="54">
        <f>IFERROR(__xludf.DUMMYFUNCTION("AVERAGE(QUERY(SORT(GOOGLEFINANCE(A11,""price"",TODAY()-300,TODAY()),1,0),""select Col2 limit 100""))"),1103.4085)</f>
        <v>1103.4085</v>
      </c>
      <c r="E11" s="54">
        <f>IFERROR(__xludf.DUMMYFUNCTION("AVERAGE(QUERY(SORT(GOOGLEFINANCE(A11,""price"",TODAY()-500,TODAY()),1,0),""select Col2 limit 200""))"),1211.4007500000002)</f>
        <v>1211.40075</v>
      </c>
      <c r="F11" s="46" t="str">
        <f t="shared" si="1"/>
        <v>Unconfirmed</v>
      </c>
      <c r="G11" s="48">
        <f t="shared" si="2"/>
        <v>-19.84898474</v>
      </c>
    </row>
    <row r="12">
      <c r="A12" s="52" t="s">
        <v>29</v>
      </c>
      <c r="B12" s="53">
        <f>IFERROR(__xludf.DUMMYFUNCTION("GOOGLEFINANCE(A12,""price"")"),507.9)</f>
        <v>507.9</v>
      </c>
      <c r="C12" s="54">
        <f>IFERROR(__xludf.DUMMYFUNCTION("AVERAGE(QUERY(SORT(GOOGLEFINANCE(A12,""price"",TODAY()-150,TODAY()),1,0),""select Col2 limit 50""))"),530.6379999999999)</f>
        <v>530.638</v>
      </c>
      <c r="D12" s="54">
        <f>IFERROR(__xludf.DUMMYFUNCTION("AVERAGE(QUERY(SORT(GOOGLEFINANCE(A12,""price"",TODAY()-300,TODAY()),1,0),""select Col2 limit 100""))"),561.7195000000002)</f>
        <v>561.7195</v>
      </c>
      <c r="E12" s="54">
        <f>IFERROR(__xludf.DUMMYFUNCTION("AVERAGE(QUERY(SORT(GOOGLEFINANCE(A12,""price"",TODAY()-500,TODAY()),1,0),""select Col2 limit 200""))"),610.9285000000003)</f>
        <v>610.9285</v>
      </c>
      <c r="F12" s="46" t="str">
        <f t="shared" si="1"/>
        <v>Unconfirmed</v>
      </c>
      <c r="G12" s="48">
        <f t="shared" si="2"/>
        <v>-16.86424843</v>
      </c>
    </row>
    <row r="13">
      <c r="A13" s="52" t="s">
        <v>30</v>
      </c>
      <c r="B13" s="53">
        <f>IFERROR(__xludf.DUMMYFUNCTION("GOOGLEFINANCE(A13,""price"")"),2218.0)</f>
        <v>2218</v>
      </c>
      <c r="C13" s="54">
        <f>IFERROR(__xludf.DUMMYFUNCTION("AVERAGE(QUERY(SORT(GOOGLEFINANCE(A13,""price"",TODAY()-150,TODAY()),1,0),""select Col2 limit 50""))"),2419.861999999999)</f>
        <v>2419.862</v>
      </c>
      <c r="D13" s="54">
        <f>IFERROR(__xludf.DUMMYFUNCTION("AVERAGE(QUERY(SORT(GOOGLEFINANCE(A13,""price"",TODAY()-300,TODAY()),1,0),""select Col2 limit 100""))"),2562.5390000000007)</f>
        <v>2562.539</v>
      </c>
      <c r="E13" s="54">
        <f>IFERROR(__xludf.DUMMYFUNCTION("AVERAGE(QUERY(SORT(GOOGLEFINANCE(A13,""price"",TODAY()-500,TODAY()),1,0),""select Col2 limit 200""))"),2802.2590000000014)</f>
        <v>2802.259</v>
      </c>
      <c r="F13" s="46" t="str">
        <f t="shared" si="1"/>
        <v>Unconfirmed</v>
      </c>
      <c r="G13" s="48">
        <f t="shared" si="2"/>
        <v>-20.84957172</v>
      </c>
    </row>
    <row r="14">
      <c r="A14" s="52" t="s">
        <v>31</v>
      </c>
      <c r="B14" s="53">
        <f>IFERROR(__xludf.DUMMYFUNCTION("GOOGLEFINANCE(A14,""price"")"),2531.5)</f>
        <v>2531.5</v>
      </c>
      <c r="C14" s="54">
        <f>IFERROR(__xludf.DUMMYFUNCTION("AVERAGE(QUERY(SORT(GOOGLEFINANCE(A14,""price"",TODAY()-150,TODAY()),1,0),""select Col2 limit 50""))"),2480.1079999999997)</f>
        <v>2480.108</v>
      </c>
      <c r="D14" s="54">
        <f>IFERROR(__xludf.DUMMYFUNCTION("AVERAGE(QUERY(SORT(GOOGLEFINANCE(A14,""price"",TODAY()-300,TODAY()),1,0),""select Col2 limit 100""))"),2543.0759999999996)</f>
        <v>2543.076</v>
      </c>
      <c r="E14" s="54">
        <f>IFERROR(__xludf.DUMMYFUNCTION("AVERAGE(QUERY(SORT(GOOGLEFINANCE(A14,""price"",TODAY()-500,TODAY()),1,0),""select Col2 limit 200""))"),2778.3084999999987)</f>
        <v>2778.3085</v>
      </c>
      <c r="F14" s="46" t="str">
        <f t="shared" si="1"/>
        <v>Unconfirmed</v>
      </c>
      <c r="G14" s="48">
        <f t="shared" si="2"/>
        <v>-8.883408736</v>
      </c>
    </row>
    <row r="15">
      <c r="A15" s="52" t="s">
        <v>32</v>
      </c>
      <c r="B15" s="53">
        <f>IFERROR(__xludf.DUMMYFUNCTION("GOOGLEFINANCE(A15,""price"")"),142.32)</f>
        <v>142.32</v>
      </c>
      <c r="C15" s="54">
        <f>IFERROR(__xludf.DUMMYFUNCTION("AVERAGE(QUERY(SORT(GOOGLEFINANCE(A15,""price"",TODAY()-150,TODAY()),1,0),""select Col2 limit 50""))"),151.05159999999998)</f>
        <v>151.0516</v>
      </c>
      <c r="D15" s="54">
        <f>IFERROR(__xludf.DUMMYFUNCTION("AVERAGE(QUERY(SORT(GOOGLEFINANCE(A15,""price"",TODAY()-300,TODAY()),1,0),""select Col2 limit 100""))"),165.18670000000006)</f>
        <v>165.1867</v>
      </c>
      <c r="E15" s="54">
        <f>IFERROR(__xludf.DUMMYFUNCTION("AVERAGE(QUERY(SORT(GOOGLEFINANCE(A15,""price"",TODAY()-500,TODAY()),1,0),""select Col2 limit 200""))"),176.86814999999996)</f>
        <v>176.86815</v>
      </c>
      <c r="F15" s="46" t="str">
        <f t="shared" si="1"/>
        <v>Unconfirmed</v>
      </c>
      <c r="G15" s="48">
        <f t="shared" si="2"/>
        <v>-19.53327945</v>
      </c>
    </row>
    <row r="16">
      <c r="A16" s="52" t="s">
        <v>33</v>
      </c>
      <c r="B16" s="53">
        <f>IFERROR(__xludf.DUMMYFUNCTION("GOOGLEFINANCE(A16,""price"")"),877.8)</f>
        <v>877.8</v>
      </c>
      <c r="C16" s="54">
        <f>IFERROR(__xludf.DUMMYFUNCTION("AVERAGE(QUERY(SORT(GOOGLEFINANCE(A16,""price"",TODAY()-150,TODAY()),1,0),""select Col2 limit 50""))"),908.0290000000001)</f>
        <v>908.029</v>
      </c>
      <c r="D16" s="54">
        <f>IFERROR(__xludf.DUMMYFUNCTION("AVERAGE(QUERY(SORT(GOOGLEFINANCE(A16,""price"",TODAY()-300,TODAY()),1,0),""select Col2 limit 100""))"),975.5464999999998)</f>
        <v>975.5465</v>
      </c>
      <c r="E16" s="54">
        <f>IFERROR(__xludf.DUMMYFUNCTION("AVERAGE(QUERY(SORT(GOOGLEFINANCE(A16,""price"",TODAY()-500,TODAY()),1,0),""select Col2 limit 200""))"),1038.7449999999997)</f>
        <v>1038.745</v>
      </c>
      <c r="F16" s="46" t="str">
        <f t="shared" si="1"/>
        <v>Unconfirmed</v>
      </c>
      <c r="G16" s="48">
        <f t="shared" si="2"/>
        <v>-15.49417807</v>
      </c>
    </row>
    <row r="17">
      <c r="A17" s="52" t="s">
        <v>34</v>
      </c>
      <c r="B17" s="53">
        <f>IFERROR(__xludf.DUMMYFUNCTION("GOOGLEFINANCE(A17,""price"")"),3105.0)</f>
        <v>3105</v>
      </c>
      <c r="C17" s="54">
        <f>IFERROR(__xludf.DUMMYFUNCTION("AVERAGE(QUERY(SORT(GOOGLEFINANCE(A17,""price"",TODAY()-150,TODAY()),1,0),""select Col2 limit 50""))"),3182.3379999999997)</f>
        <v>3182.338</v>
      </c>
      <c r="D17" s="54">
        <f>IFERROR(__xludf.DUMMYFUNCTION("AVERAGE(QUERY(SORT(GOOGLEFINANCE(A17,""price"",TODAY()-300,TODAY()),1,0),""select Col2 limit 100""))"),3342.4929999999995)</f>
        <v>3342.493</v>
      </c>
      <c r="E17" s="54">
        <f>IFERROR(__xludf.DUMMYFUNCTION("AVERAGE(QUERY(SORT(GOOGLEFINANCE(A17,""price"",TODAY()-500,TODAY()),1,0),""select Col2 limit 200""))"),3624.0210000000015)</f>
        <v>3624.021</v>
      </c>
      <c r="F17" s="46" t="str">
        <f t="shared" si="1"/>
        <v>Unconfirmed</v>
      </c>
      <c r="G17" s="48">
        <f t="shared" si="2"/>
        <v>-14.32168853</v>
      </c>
    </row>
    <row r="18">
      <c r="A18" s="52" t="s">
        <v>35</v>
      </c>
      <c r="B18" s="53">
        <f>IFERROR(__xludf.DUMMYFUNCTION("GOOGLEFINANCE(A18,""price"")"),13974.0)</f>
        <v>13974</v>
      </c>
      <c r="C18" s="54">
        <f>IFERROR(__xludf.DUMMYFUNCTION("AVERAGE(QUERY(SORT(GOOGLEFINANCE(A18,""price"",TODAY()-150,TODAY()),1,0),""select Col2 limit 50""))"),13011.92)</f>
        <v>13011.92</v>
      </c>
      <c r="D18" s="54">
        <f>IFERROR(__xludf.DUMMYFUNCTION("AVERAGE(QUERY(SORT(GOOGLEFINANCE(A18,""price"",TODAY()-300,TODAY()),1,0),""select Col2 limit 100""))"),13259.47)</f>
        <v>13259.47</v>
      </c>
      <c r="E18" s="54">
        <f>IFERROR(__xludf.DUMMYFUNCTION("AVERAGE(QUERY(SORT(GOOGLEFINANCE(A18,""price"",TODAY()-500,TODAY()),1,0),""select Col2 limit 200""))"),14237.75)</f>
        <v>14237.75</v>
      </c>
      <c r="F18" s="46" t="str">
        <f t="shared" si="1"/>
        <v>Unconfirmed</v>
      </c>
      <c r="G18" s="48">
        <f t="shared" si="2"/>
        <v>-1.852469667</v>
      </c>
    </row>
    <row r="19">
      <c r="A19" s="52" t="s">
        <v>36</v>
      </c>
      <c r="B19" s="53">
        <f>IFERROR(__xludf.DUMMYFUNCTION("GOOGLEFINANCE(A19,""price"")"),4315.0)</f>
        <v>4315</v>
      </c>
      <c r="C19" s="54">
        <f>IFERROR(__xludf.DUMMYFUNCTION("AVERAGE(QUERY(SORT(GOOGLEFINANCE(A19,""price"",TODAY()-150,TODAY()),1,0),""select Col2 limit 50""))"),4556.212)</f>
        <v>4556.212</v>
      </c>
      <c r="D19" s="54">
        <f>IFERROR(__xludf.DUMMYFUNCTION("AVERAGE(QUERY(SORT(GOOGLEFINANCE(A19,""price"",TODAY()-300,TODAY()),1,0),""select Col2 limit 100""))"),4599.599000000003)</f>
        <v>4599.599</v>
      </c>
      <c r="E19" s="54">
        <f>IFERROR(__xludf.DUMMYFUNCTION("AVERAGE(QUERY(SORT(GOOGLEFINANCE(A19,""price"",TODAY()-500,TODAY()),1,0),""select Col2 limit 200""))"),4967.658000000001)</f>
        <v>4967.658</v>
      </c>
      <c r="F19" s="46" t="str">
        <f t="shared" si="1"/>
        <v>Unconfirmed</v>
      </c>
      <c r="G19" s="48">
        <f t="shared" si="2"/>
        <v>-13.13814276</v>
      </c>
    </row>
    <row r="20">
      <c r="A20" s="52" t="s">
        <v>37</v>
      </c>
      <c r="B20" s="53">
        <f>IFERROR(__xludf.DUMMYFUNCTION("GOOGLEFINANCE(A20,""price"")"),371.3)</f>
        <v>371.3</v>
      </c>
      <c r="C20" s="54">
        <f>IFERROR(__xludf.DUMMYFUNCTION("AVERAGE(QUERY(SORT(GOOGLEFINANCE(A20,""price"",TODAY()-150,TODAY()),1,0),""select Col2 limit 50""))"),364.474)</f>
        <v>364.474</v>
      </c>
      <c r="D20" s="54">
        <f>IFERROR(__xludf.DUMMYFUNCTION("AVERAGE(QUERY(SORT(GOOGLEFINANCE(A20,""price"",TODAY()-300,TODAY()),1,0),""select Col2 limit 100""))"),373.4780999999999)</f>
        <v>373.4781</v>
      </c>
      <c r="E20" s="54">
        <f>IFERROR(__xludf.DUMMYFUNCTION("AVERAGE(QUERY(SORT(GOOGLEFINANCE(A20,""price"",TODAY()-500,TODAY()),1,0),""select Col2 limit 200""))"),396.22680000000014)</f>
        <v>396.2268</v>
      </c>
      <c r="F20" s="46" t="str">
        <f t="shared" si="1"/>
        <v>Unconfirmed</v>
      </c>
      <c r="G20" s="48">
        <f t="shared" si="2"/>
        <v>-6.291043413</v>
      </c>
    </row>
    <row r="21">
      <c r="A21" s="52" t="s">
        <v>38</v>
      </c>
      <c r="B21" s="53">
        <f>IFERROR(__xludf.DUMMYFUNCTION("GOOGLEFINANCE(A21,""price"")"),3962.0)</f>
        <v>3962</v>
      </c>
      <c r="C21" s="54">
        <f>IFERROR(__xludf.DUMMYFUNCTION("AVERAGE(QUERY(SORT(GOOGLEFINANCE(A21,""price"",TODAY()-150,TODAY()),1,0),""select Col2 limit 50""))"),3612.8779999999992)</f>
        <v>3612.878</v>
      </c>
      <c r="D21" s="54">
        <f>IFERROR(__xludf.DUMMYFUNCTION("AVERAGE(QUERY(SORT(GOOGLEFINANCE(A21,""price"",TODAY()-300,TODAY()),1,0),""select Col2 limit 100""))"),3671.764000000001)</f>
        <v>3671.764</v>
      </c>
      <c r="E21" s="54">
        <f>IFERROR(__xludf.DUMMYFUNCTION("AVERAGE(QUERY(SORT(GOOGLEFINANCE(A21,""price"",TODAY()-500,TODAY()),1,0),""select Col2 limit 200""))"),3989.086)</f>
        <v>3989.086</v>
      </c>
      <c r="F21" s="46" t="str">
        <f t="shared" si="1"/>
        <v>Unconfirmed</v>
      </c>
      <c r="G21" s="48">
        <f t="shared" si="2"/>
        <v>-0.6790026588</v>
      </c>
    </row>
    <row r="22">
      <c r="A22" s="52" t="s">
        <v>39</v>
      </c>
      <c r="B22" s="53">
        <f>IFERROR(__xludf.DUMMYFUNCTION("GOOGLEFINANCE(A22,""price"")"),10715.0)</f>
        <v>10715</v>
      </c>
      <c r="C22" s="54">
        <f>IFERROR(__xludf.DUMMYFUNCTION("AVERAGE(QUERY(SORT(GOOGLEFINANCE(A22,""price"",TODAY()-150,TODAY()),1,0),""select Col2 limit 50""))"),11003.0)</f>
        <v>11003</v>
      </c>
      <c r="D22" s="54">
        <f>IFERROR(__xludf.DUMMYFUNCTION("AVERAGE(QUERY(SORT(GOOGLEFINANCE(A22,""price"",TODAY()-300,TODAY()),1,0),""select Col2 limit 100""))"),11470.72)</f>
        <v>11470.72</v>
      </c>
      <c r="E22" s="54">
        <f>IFERROR(__xludf.DUMMYFUNCTION("AVERAGE(QUERY(SORT(GOOGLEFINANCE(A22,""price"",TODAY()-500,TODAY()),1,0),""select Col2 limit 200""))"),12518.5)</f>
        <v>12518.5</v>
      </c>
      <c r="F22" s="46" t="str">
        <f t="shared" si="1"/>
        <v>Unconfirmed</v>
      </c>
      <c r="G22" s="48">
        <f t="shared" si="2"/>
        <v>-14.40667812</v>
      </c>
    </row>
    <row r="23">
      <c r="A23" s="52" t="s">
        <v>40</v>
      </c>
      <c r="B23" s="53">
        <f>IFERROR(__xludf.DUMMYFUNCTION("GOOGLEFINANCE(A23,""price"")"),3800.0)</f>
        <v>3800</v>
      </c>
      <c r="C23" s="54">
        <f>IFERROR(__xludf.DUMMYFUNCTION("AVERAGE(QUERY(SORT(GOOGLEFINANCE(A23,""price"",TODAY()-150,TODAY()),1,0),""select Col2 limit 50""))"),3804.3380000000006)</f>
        <v>3804.338</v>
      </c>
      <c r="D23" s="54">
        <f>IFERROR(__xludf.DUMMYFUNCTION("AVERAGE(QUERY(SORT(GOOGLEFINANCE(A23,""price"",TODAY()-300,TODAY()),1,0),""select Col2 limit 100""))"),3941.3550000000014)</f>
        <v>3941.355</v>
      </c>
      <c r="E23" s="54">
        <f>IFERROR(__xludf.DUMMYFUNCTION("AVERAGE(QUERY(SORT(GOOGLEFINANCE(A23,""price"",TODAY()-500,TODAY()),1,0),""select Col2 limit 200""))"),4134.207500000001)</f>
        <v>4134.2075</v>
      </c>
      <c r="F23" s="46" t="str">
        <f t="shared" si="1"/>
        <v>In Bear Run</v>
      </c>
      <c r="G23" s="48">
        <f t="shared" si="2"/>
        <v>-8.083955631</v>
      </c>
    </row>
    <row r="24">
      <c r="A24" s="52" t="s">
        <v>41</v>
      </c>
      <c r="B24" s="53">
        <f>IFERROR(__xludf.DUMMYFUNCTION("GOOGLEFINANCE(A24,""price"")"),2849.0)</f>
        <v>2849</v>
      </c>
      <c r="C24" s="54">
        <f>IFERROR(__xludf.DUMMYFUNCTION("AVERAGE(QUERY(SORT(GOOGLEFINANCE(A24,""price"",TODAY()-150,TODAY()),1,0),""select Col2 limit 50""))"),2485.1559999999995)</f>
        <v>2485.156</v>
      </c>
      <c r="D24" s="54">
        <f>IFERROR(__xludf.DUMMYFUNCTION("AVERAGE(QUERY(SORT(GOOGLEFINANCE(A24,""price"",TODAY()-300,TODAY()),1,0),""select Col2 limit 100""))"),2719.5339999999997)</f>
        <v>2719.534</v>
      </c>
      <c r="E24" s="54">
        <f>IFERROR(__xludf.DUMMYFUNCTION("AVERAGE(QUERY(SORT(GOOGLEFINANCE(A24,""price"",TODAY()-500,TODAY()),1,0),""select Col2 limit 200""))"),2875.795499999999)</f>
        <v>2875.7955</v>
      </c>
      <c r="F24" s="46" t="str">
        <f t="shared" si="1"/>
        <v>Unconfirmed</v>
      </c>
      <c r="G24" s="48">
        <f t="shared" si="2"/>
        <v>-0.9317595775</v>
      </c>
    </row>
    <row r="25">
      <c r="A25" s="52" t="s">
        <v>42</v>
      </c>
      <c r="B25" s="53">
        <f>IFERROR(__xludf.DUMMYFUNCTION("GOOGLEFINANCE(A25,""price"")"),41.0)</f>
        <v>41</v>
      </c>
      <c r="C25" s="54">
        <f>IFERROR(__xludf.DUMMYFUNCTION("AVERAGE(QUERY(SORT(GOOGLEFINANCE(A25,""price"",TODAY()-150,TODAY()),1,0),""select Col2 limit 50""))"),48.45880000000001)</f>
        <v>48.4588</v>
      </c>
      <c r="D25" s="54">
        <f>IFERROR(__xludf.DUMMYFUNCTION("AVERAGE(QUERY(SORT(GOOGLEFINANCE(A25,""price"",TODAY()-300,TODAY()),1,0),""select Col2 limit 100""))"),51.69770000000001)</f>
        <v>51.6977</v>
      </c>
      <c r="E25" s="54">
        <f>IFERROR(__xludf.DUMMYFUNCTION("AVERAGE(QUERY(SORT(GOOGLEFINANCE(A25,""price"",TODAY()-500,TODAY()),1,0),""select Col2 limit 200""))"),57.01550000000001)</f>
        <v>57.0155</v>
      </c>
      <c r="F25" s="46" t="str">
        <f t="shared" si="1"/>
        <v>Unconfirmed</v>
      </c>
      <c r="G25" s="48">
        <f t="shared" si="2"/>
        <v>-28.08972999</v>
      </c>
    </row>
    <row r="26">
      <c r="A26" s="52" t="s">
        <v>43</v>
      </c>
      <c r="B26" s="53">
        <f>IFERROR(__xludf.DUMMYFUNCTION("GOOGLEFINANCE(A26,""price"")"),314.7)</f>
        <v>314.7</v>
      </c>
      <c r="C26" s="54">
        <f>IFERROR(__xludf.DUMMYFUNCTION("AVERAGE(QUERY(SORT(GOOGLEFINANCE(A26,""price"",TODAY()-150,TODAY()),1,0),""select Col2 limit 50""))"),340.46700000000004)</f>
        <v>340.467</v>
      </c>
      <c r="D26" s="54">
        <f>IFERROR(__xludf.DUMMYFUNCTION("AVERAGE(QUERY(SORT(GOOGLEFINANCE(A26,""price"",TODAY()-300,TODAY()),1,0),""select Col2 limit 100""))"),373.3640000000001)</f>
        <v>373.364</v>
      </c>
      <c r="E26" s="54">
        <f>IFERROR(__xludf.DUMMYFUNCTION("AVERAGE(QUERY(SORT(GOOGLEFINANCE(A26,""price"",TODAY()-500,TODAY()),1,0),""select Col2 limit 200""))"),394.2064999999999)</f>
        <v>394.2065</v>
      </c>
      <c r="F26" s="46" t="str">
        <f t="shared" si="1"/>
        <v>Unconfirmed</v>
      </c>
      <c r="G26" s="48">
        <f t="shared" si="2"/>
        <v>-20.16874405</v>
      </c>
    </row>
    <row r="27">
      <c r="A27" s="52" t="s">
        <v>44</v>
      </c>
      <c r="B27" s="53">
        <f>IFERROR(__xludf.DUMMYFUNCTION("GOOGLEFINANCE(A27,""price"")"),2228.4)</f>
        <v>2228.4</v>
      </c>
      <c r="C27" s="54">
        <f>IFERROR(__xludf.DUMMYFUNCTION("AVERAGE(QUERY(SORT(GOOGLEFINANCE(A27,""price"",TODAY()-150,TODAY()),1,0),""select Col2 limit 50""))"),2134.8700000000003)</f>
        <v>2134.87</v>
      </c>
      <c r="D27" s="54">
        <f>IFERROR(__xludf.DUMMYFUNCTION("AVERAGE(QUERY(SORT(GOOGLEFINANCE(A27,""price"",TODAY()-300,TODAY()),1,0),""select Col2 limit 100""))"),2163.6810000000005)</f>
        <v>2163.681</v>
      </c>
      <c r="E27" s="54">
        <f>IFERROR(__xludf.DUMMYFUNCTION("AVERAGE(QUERY(SORT(GOOGLEFINANCE(A27,""price"",TODAY()-500,TODAY()),1,0),""select Col2 limit 200""))"),2267.0275)</f>
        <v>2267.0275</v>
      </c>
      <c r="F27" s="46" t="str">
        <f t="shared" si="1"/>
        <v>Unconfirmed</v>
      </c>
      <c r="G27" s="48">
        <f t="shared" si="2"/>
        <v>-1.703883169</v>
      </c>
    </row>
    <row r="28">
      <c r="A28" s="52" t="s">
        <v>45</v>
      </c>
      <c r="B28" s="53">
        <f>IFERROR(__xludf.DUMMYFUNCTION("GOOGLEFINANCE(A28,""price"")"),963.25)</f>
        <v>963.25</v>
      </c>
      <c r="C28" s="54">
        <f>IFERROR(__xludf.DUMMYFUNCTION("AVERAGE(QUERY(SORT(GOOGLEFINANCE(A28,""price"",TODAY()-150,TODAY()),1,0),""select Col2 limit 50""))"),1005.9339999999997)</f>
        <v>1005.934</v>
      </c>
      <c r="D28" s="54">
        <f>IFERROR(__xludf.DUMMYFUNCTION("AVERAGE(QUERY(SORT(GOOGLEFINANCE(A28,""price"",TODAY()-300,TODAY()),1,0),""select Col2 limit 100""))"),1033.3179999999998)</f>
        <v>1033.318</v>
      </c>
      <c r="E28" s="54">
        <f>IFERROR(__xludf.DUMMYFUNCTION("AVERAGE(QUERY(SORT(GOOGLEFINANCE(A28,""price"",TODAY()-500,TODAY()),1,0),""select Col2 limit 200""))"),1115.4970000000003)</f>
        <v>1115.497</v>
      </c>
      <c r="F28" s="46" t="str">
        <f t="shared" si="1"/>
        <v>Unconfirmed</v>
      </c>
      <c r="G28" s="48">
        <f t="shared" si="2"/>
        <v>-13.64835584</v>
      </c>
    </row>
    <row r="29">
      <c r="A29" s="52" t="s">
        <v>46</v>
      </c>
      <c r="B29" s="53">
        <f>IFERROR(__xludf.DUMMYFUNCTION("GOOGLEFINANCE(A29,""price"")"),2250.0)</f>
        <v>2250</v>
      </c>
      <c r="C29" s="54">
        <f>IFERROR(__xludf.DUMMYFUNCTION("AVERAGE(QUERY(SORT(GOOGLEFINANCE(A29,""price"",TODAY()-150,TODAY()),1,0),""select Col2 limit 50""))"),2142.6420000000007)</f>
        <v>2142.642</v>
      </c>
      <c r="D29" s="54">
        <f>IFERROR(__xludf.DUMMYFUNCTION("AVERAGE(QUERY(SORT(GOOGLEFINANCE(A29,""price"",TODAY()-300,TODAY()),1,0),""select Col2 limit 100""))"),2227.6780000000003)</f>
        <v>2227.678</v>
      </c>
      <c r="E29" s="54">
        <f>IFERROR(__xludf.DUMMYFUNCTION("AVERAGE(QUERY(SORT(GOOGLEFINANCE(A29,""price"",TODAY()-500,TODAY()),1,0),""select Col2 limit 200""))"),2360.9655000000007)</f>
        <v>2360.9655</v>
      </c>
      <c r="F29" s="46" t="str">
        <f t="shared" si="1"/>
        <v>Unconfirmed</v>
      </c>
      <c r="G29" s="48">
        <f t="shared" si="2"/>
        <v>-4.700005146</v>
      </c>
    </row>
    <row r="30">
      <c r="A30" s="52" t="s">
        <v>47</v>
      </c>
      <c r="B30" s="53">
        <f>IFERROR(__xludf.DUMMYFUNCTION("GOOGLEFINANCE(A30,""price"")"),116.5)</f>
        <v>116.5</v>
      </c>
      <c r="C30" s="54">
        <f>IFERROR(__xludf.DUMMYFUNCTION("AVERAGE(QUERY(SORT(GOOGLEFINANCE(A30,""price"",TODAY()-150,TODAY()),1,0),""select Col2 limit 50""))"),132.42359999999996)</f>
        <v>132.4236</v>
      </c>
      <c r="D30" s="54">
        <f>IFERROR(__xludf.DUMMYFUNCTION("AVERAGE(QUERY(SORT(GOOGLEFINANCE(A30,""price"",TODAY()-300,TODAY()),1,0),""select Col2 limit 100""))"),139.26519999999994)</f>
        <v>139.2652</v>
      </c>
      <c r="E30" s="54">
        <f>IFERROR(__xludf.DUMMYFUNCTION("AVERAGE(QUERY(SORT(GOOGLEFINANCE(A30,""price"",TODAY()-500,TODAY()),1,0),""select Col2 limit 200""))"),148.92434999999992)</f>
        <v>148.92435</v>
      </c>
      <c r="F30" s="46" t="str">
        <f t="shared" si="1"/>
        <v>Unconfirmed</v>
      </c>
      <c r="G30" s="48">
        <f t="shared" si="2"/>
        <v>-21.77236295</v>
      </c>
    </row>
    <row r="31">
      <c r="A31" s="52" t="s">
        <v>48</v>
      </c>
      <c r="B31" s="53">
        <f>IFERROR(__xludf.DUMMYFUNCTION("GOOGLEFINANCE(A31,""price"")"),1079.2)</f>
        <v>1079.2</v>
      </c>
      <c r="C31" s="54">
        <f>IFERROR(__xludf.DUMMYFUNCTION("AVERAGE(QUERY(SORT(GOOGLEFINANCE(A31,""price"",TODAY()-150,TODAY()),1,0),""select Col2 limit 50""))"),1041.2009999999998)</f>
        <v>1041.201</v>
      </c>
      <c r="D31" s="54">
        <f>IFERROR(__xludf.DUMMYFUNCTION("AVERAGE(QUERY(SORT(GOOGLEFINANCE(A31,""price"",TODAY()-300,TODAY()),1,0),""select Col2 limit 100""))"),1088.7355)</f>
        <v>1088.7355</v>
      </c>
      <c r="E31" s="54">
        <f>IFERROR(__xludf.DUMMYFUNCTION("AVERAGE(QUERY(SORT(GOOGLEFINANCE(A31,""price"",TODAY()-500,TODAY()),1,0),""select Col2 limit 200""))"),1146.1072500000002)</f>
        <v>1146.10725</v>
      </c>
      <c r="F31" s="46" t="str">
        <f t="shared" si="1"/>
        <v>Unconfirmed</v>
      </c>
      <c r="G31" s="48">
        <f t="shared" si="2"/>
        <v>-5.837782633</v>
      </c>
    </row>
    <row r="32">
      <c r="A32" s="52" t="s">
        <v>49</v>
      </c>
      <c r="B32" s="53">
        <f>IFERROR(__xludf.DUMMYFUNCTION("GOOGLEFINANCE(A32,""price"")"),30300.0)</f>
        <v>30300</v>
      </c>
      <c r="C32" s="54">
        <f>IFERROR(__xludf.DUMMYFUNCTION("AVERAGE(QUERY(SORT(GOOGLEFINANCE(A32,""price"",TODAY()-150,TODAY()),1,0),""select Col2 limit 50""))"),32605.3)</f>
        <v>32605.3</v>
      </c>
      <c r="D32" s="54">
        <f>IFERROR(__xludf.DUMMYFUNCTION("AVERAGE(QUERY(SORT(GOOGLEFINANCE(A32,""price"",TODAY()-300,TODAY()),1,0),""select Col2 limit 100""))"),34093.55)</f>
        <v>34093.55</v>
      </c>
      <c r="E32" s="54">
        <f>IFERROR(__xludf.DUMMYFUNCTION("AVERAGE(QUERY(SORT(GOOGLEFINANCE(A32,""price"",TODAY()-500,TODAY()),1,0),""select Col2 limit 200""))"),36113.65)</f>
        <v>36113.65</v>
      </c>
      <c r="F32" s="46" t="str">
        <f t="shared" si="1"/>
        <v>Unconfirmed</v>
      </c>
      <c r="G32" s="48">
        <f t="shared" si="2"/>
        <v>-16.09820663</v>
      </c>
    </row>
    <row r="33">
      <c r="A33" s="52" t="s">
        <v>50</v>
      </c>
      <c r="B33" s="53">
        <f>IFERROR(__xludf.DUMMYFUNCTION("GOOGLEFINANCE(A33,""price"")"),6860.0)</f>
        <v>6860</v>
      </c>
      <c r="C33" s="54">
        <f>IFERROR(__xludf.DUMMYFUNCTION("AVERAGE(QUERY(SORT(GOOGLEFINANCE(A33,""price"",TODAY()-150,TODAY()),1,0),""select Col2 limit 50""))"),7442.01)</f>
        <v>7442.01</v>
      </c>
      <c r="D33" s="54">
        <f>IFERROR(__xludf.DUMMYFUNCTION("AVERAGE(QUERY(SORT(GOOGLEFINANCE(A33,""price"",TODAY()-300,TODAY()),1,0),""select Col2 limit 100""))"),7915.76)</f>
        <v>7915.76</v>
      </c>
      <c r="E33" s="54">
        <f>IFERROR(__xludf.DUMMYFUNCTION("AVERAGE(QUERY(SORT(GOOGLEFINANCE(A33,""price"",TODAY()-500,TODAY()),1,0),""select Col2 limit 200""))"),8350.43)</f>
        <v>8350.43</v>
      </c>
      <c r="F33" s="46" t="str">
        <f t="shared" si="1"/>
        <v>Unconfirmed</v>
      </c>
      <c r="G33" s="48">
        <f t="shared" si="2"/>
        <v>-17.84854193</v>
      </c>
    </row>
    <row r="34">
      <c r="A34" s="52" t="s">
        <v>51</v>
      </c>
      <c r="B34" s="53">
        <f>IFERROR(__xludf.DUMMYFUNCTION("GOOGLEFINANCE(A34,""price"")"),405.6)</f>
        <v>405.6</v>
      </c>
      <c r="C34" s="54">
        <f>IFERROR(__xludf.DUMMYFUNCTION("AVERAGE(QUERY(SORT(GOOGLEFINANCE(A34,""price"",TODAY()-150,TODAY()),1,0),""select Col2 limit 50""))"),383.73199999999997)</f>
        <v>383.732</v>
      </c>
      <c r="D34" s="54">
        <f>IFERROR(__xludf.DUMMYFUNCTION("AVERAGE(QUERY(SORT(GOOGLEFINANCE(A34,""price"",TODAY()-300,TODAY()),1,0),""select Col2 limit 100""))"),380.29799999999994)</f>
        <v>380.298</v>
      </c>
      <c r="E34" s="54">
        <f>IFERROR(__xludf.DUMMYFUNCTION("AVERAGE(QUERY(SORT(GOOGLEFINANCE(A34,""price"",TODAY()-500,TODAY()),1,0),""select Col2 limit 200""))"),395.06975)</f>
        <v>395.06975</v>
      </c>
      <c r="F34" s="46" t="str">
        <f t="shared" si="1"/>
        <v>Unconfirmed</v>
      </c>
      <c r="G34" s="48">
        <f t="shared" si="2"/>
        <v>2.665415411</v>
      </c>
    </row>
    <row r="35">
      <c r="A35" s="52" t="s">
        <v>52</v>
      </c>
      <c r="B35" s="53">
        <f>IFERROR(__xludf.DUMMYFUNCTION("GOOGLEFINANCE(A35,""price"")"),180.88)</f>
        <v>180.88</v>
      </c>
      <c r="C35" s="54">
        <f>IFERROR(__xludf.DUMMYFUNCTION("AVERAGE(QUERY(SORT(GOOGLEFINANCE(A35,""price"",TODAY()-150,TODAY()),1,0),""select Col2 limit 50""))"),215.78160000000008)</f>
        <v>215.7816</v>
      </c>
      <c r="D35" s="54">
        <f>IFERROR(__xludf.DUMMYFUNCTION("AVERAGE(QUERY(SORT(GOOGLEFINANCE(A35,""price"",TODAY()-300,TODAY()),1,0),""select Col2 limit 100""))"),239.82380000000012)</f>
        <v>239.8238</v>
      </c>
      <c r="E35" s="54">
        <f>IFERROR(__xludf.DUMMYFUNCTION("AVERAGE(QUERY(SORT(GOOGLEFINANCE(A35,""price"",TODAY()-500,TODAY()),1,0),""select Col2 limit 200""))"),251.02265000000006)</f>
        <v>251.02265</v>
      </c>
      <c r="F35" s="46" t="str">
        <f t="shared" si="1"/>
        <v>Unconfirmed</v>
      </c>
      <c r="G35" s="48">
        <f t="shared" si="2"/>
        <v>-27.94275736</v>
      </c>
    </row>
    <row r="36">
      <c r="A36" s="52" t="s">
        <v>53</v>
      </c>
      <c r="B36" s="53">
        <f>IFERROR(__xludf.DUMMYFUNCTION("GOOGLEFINANCE(A36,""price"")"),172.47)</f>
        <v>172.47</v>
      </c>
      <c r="C36" s="54">
        <f>IFERROR(__xludf.DUMMYFUNCTION("AVERAGE(QUERY(SORT(GOOGLEFINANCE(A36,""price"",TODAY()-150,TODAY()),1,0),""select Col2 limit 50""))"),186.98239999999998)</f>
        <v>186.9824</v>
      </c>
      <c r="D36" s="54">
        <f>IFERROR(__xludf.DUMMYFUNCTION("AVERAGE(QUERY(SORT(GOOGLEFINANCE(A36,""price"",TODAY()-300,TODAY()),1,0),""select Col2 limit 100""))"),198.4097)</f>
        <v>198.4097</v>
      </c>
      <c r="E36" s="54">
        <f>IFERROR(__xludf.DUMMYFUNCTION("AVERAGE(QUERY(SORT(GOOGLEFINANCE(A36,""price"",TODAY()-500,TODAY()),1,0),""select Col2 limit 200""))"),213.29020000000003)</f>
        <v>213.2902</v>
      </c>
      <c r="F36" s="46" t="str">
        <f t="shared" si="1"/>
        <v>Unconfirmed</v>
      </c>
      <c r="G36" s="48">
        <f t="shared" si="2"/>
        <v>-19.13833828</v>
      </c>
    </row>
    <row r="37">
      <c r="A37" s="52" t="s">
        <v>54</v>
      </c>
      <c r="B37" s="53">
        <f>IFERROR(__xludf.DUMMYFUNCTION("GOOGLEFINANCE(A37,""price"")"),25850.0)</f>
        <v>25850</v>
      </c>
      <c r="C37" s="54">
        <f>IFERROR(__xludf.DUMMYFUNCTION("AVERAGE(QUERY(SORT(GOOGLEFINANCE(A37,""price"",TODAY()-150,TODAY()),1,0),""select Col2 limit 50""))"),26794.6)</f>
        <v>26794.6</v>
      </c>
      <c r="D37" s="54">
        <f>IFERROR(__xludf.DUMMYFUNCTION("AVERAGE(QUERY(SORT(GOOGLEFINANCE(A37,""price"",TODAY()-300,TODAY()),1,0),""select Col2 limit 100""))"),27171.35)</f>
        <v>27171.35</v>
      </c>
      <c r="E37" s="54">
        <f>IFERROR(__xludf.DUMMYFUNCTION("AVERAGE(QUERY(SORT(GOOGLEFINANCE(A37,""price"",TODAY()-500,TODAY()),1,0),""select Col2 limit 200""))"),28742.625)</f>
        <v>28742.625</v>
      </c>
      <c r="F37" s="46" t="str">
        <f t="shared" si="1"/>
        <v>Unconfirmed</v>
      </c>
      <c r="G37" s="48">
        <f t="shared" si="2"/>
        <v>-10.06388595</v>
      </c>
    </row>
    <row r="38">
      <c r="A38" s="52" t="s">
        <v>55</v>
      </c>
      <c r="B38" s="53">
        <f>IFERROR(__xludf.DUMMYFUNCTION("GOOGLEFINANCE(A38,""price"")"),1270.5)</f>
        <v>1270.5</v>
      </c>
      <c r="C38" s="54">
        <f>IFERROR(__xludf.DUMMYFUNCTION("AVERAGE(QUERY(SORT(GOOGLEFINANCE(A38,""price"",TODAY()-150,TODAY()),1,0),""select Col2 limit 50""))"),1397.392)</f>
        <v>1397.392</v>
      </c>
      <c r="D38" s="54">
        <f>IFERROR(__xludf.DUMMYFUNCTION("AVERAGE(QUERY(SORT(GOOGLEFINANCE(A38,""price"",TODAY()-300,TODAY()),1,0),""select Col2 limit 100""))"),1448.0759999999998)</f>
        <v>1448.076</v>
      </c>
      <c r="E38" s="54">
        <f>IFERROR(__xludf.DUMMYFUNCTION("AVERAGE(QUERY(SORT(GOOGLEFINANCE(A38,""price"",TODAY()-500,TODAY()),1,0),""select Col2 limit 200""))"),1582.328)</f>
        <v>1582.328</v>
      </c>
      <c r="F38" s="46" t="str">
        <f t="shared" si="1"/>
        <v>Unconfirmed</v>
      </c>
      <c r="G38" s="48">
        <f t="shared" si="2"/>
        <v>-19.70691285</v>
      </c>
    </row>
    <row r="39">
      <c r="A39" s="52" t="s">
        <v>56</v>
      </c>
      <c r="B39" s="53">
        <f>IFERROR(__xludf.DUMMYFUNCTION("GOOGLEFINANCE(A39,""price"")"),4460.0)</f>
        <v>4460</v>
      </c>
      <c r="C39" s="54">
        <f>IFERROR(__xludf.DUMMYFUNCTION("AVERAGE(QUERY(SORT(GOOGLEFINANCE(A39,""price"",TODAY()-150,TODAY()),1,0),""select Col2 limit 50""))"),5236.976)</f>
        <v>5236.976</v>
      </c>
      <c r="D39" s="54">
        <f>IFERROR(__xludf.DUMMYFUNCTION("AVERAGE(QUERY(SORT(GOOGLEFINANCE(A39,""price"",TODAY()-300,TODAY()),1,0),""select Col2 limit 100""))"),5260.183000000001)</f>
        <v>5260.183</v>
      </c>
      <c r="E39" s="54">
        <f>IFERROR(__xludf.DUMMYFUNCTION("AVERAGE(QUERY(SORT(GOOGLEFINANCE(A39,""price"",TODAY()-500,TODAY()),1,0),""select Col2 limit 200""))"),5622.104)</f>
        <v>5622.104</v>
      </c>
      <c r="F39" s="46" t="str">
        <f t="shared" si="1"/>
        <v>Unconfirmed</v>
      </c>
      <c r="G39" s="48">
        <f t="shared" si="2"/>
        <v>-20.67026864</v>
      </c>
    </row>
    <row r="40">
      <c r="A40" s="52" t="s">
        <v>57</v>
      </c>
      <c r="B40" s="53">
        <f>IFERROR(__xludf.DUMMYFUNCTION("GOOGLEFINANCE(A40,""price"")"),5611.0)</f>
        <v>5611</v>
      </c>
      <c r="C40" s="54">
        <f>IFERROR(__xludf.DUMMYFUNCTION("AVERAGE(QUERY(SORT(GOOGLEFINANCE(A40,""price"",TODAY()-150,TODAY()),1,0),""select Col2 limit 50""))"),5684.42)</f>
        <v>5684.42</v>
      </c>
      <c r="D40" s="54">
        <f>IFERROR(__xludf.DUMMYFUNCTION("AVERAGE(QUERY(SORT(GOOGLEFINANCE(A40,""price"",TODAY()-300,TODAY()),1,0),""select Col2 limit 100""))"),5811.81)</f>
        <v>5811.81</v>
      </c>
      <c r="E40" s="54">
        <f>IFERROR(__xludf.DUMMYFUNCTION("AVERAGE(QUERY(SORT(GOOGLEFINANCE(A40,""price"",TODAY()-500,TODAY()),1,0),""select Col2 limit 200""))"),6072.16)</f>
        <v>6072.16</v>
      </c>
      <c r="F40" s="46" t="str">
        <f t="shared" si="1"/>
        <v>In Bear Run</v>
      </c>
      <c r="G40" s="48">
        <f t="shared" si="2"/>
        <v>-7.594661537</v>
      </c>
    </row>
    <row r="41">
      <c r="A41" s="52" t="s">
        <v>58</v>
      </c>
      <c r="B41" s="53">
        <f>IFERROR(__xludf.DUMMYFUNCTION("GOOGLEFINANCE(A41,""price"")"),588.0)</f>
        <v>588</v>
      </c>
      <c r="C41" s="54">
        <f>IFERROR(__xludf.DUMMYFUNCTION("AVERAGE(QUERY(SORT(GOOGLEFINANCE(A41,""price"",TODAY()-150,TODAY()),1,0),""select Col2 limit 50""))"),653.1320000000001)</f>
        <v>653.132</v>
      </c>
      <c r="D41" s="54">
        <f>IFERROR(__xludf.DUMMYFUNCTION("AVERAGE(QUERY(SORT(GOOGLEFINANCE(A41,""price"",TODAY()-300,TODAY()),1,0),""select Col2 limit 100""))"),696.4489999999996)</f>
        <v>696.449</v>
      </c>
      <c r="E41" s="54">
        <f>IFERROR(__xludf.DUMMYFUNCTION("AVERAGE(QUERY(SORT(GOOGLEFINANCE(A41,""price"",TODAY()-500,TODAY()),1,0),""select Col2 limit 200""))"),744.6979999999996)</f>
        <v>744.698</v>
      </c>
      <c r="F41" s="46" t="str">
        <f t="shared" si="1"/>
        <v>Unconfirmed</v>
      </c>
      <c r="G41" s="48">
        <f t="shared" si="2"/>
        <v>-21.04181829</v>
      </c>
    </row>
    <row r="42">
      <c r="A42" s="52" t="s">
        <v>59</v>
      </c>
      <c r="B42" s="53">
        <f>IFERROR(__xludf.DUMMYFUNCTION("GOOGLEFINANCE(A42,""price"")"),4533.0)</f>
        <v>4533</v>
      </c>
      <c r="C42" s="54">
        <f>IFERROR(__xludf.DUMMYFUNCTION("AVERAGE(QUERY(SORT(GOOGLEFINANCE(A42,""price"",TODAY()-150,TODAY()),1,0),""select Col2 limit 50""))"),4914.6)</f>
        <v>4914.6</v>
      </c>
      <c r="D42" s="54">
        <f>IFERROR(__xludf.DUMMYFUNCTION("AVERAGE(QUERY(SORT(GOOGLEFINANCE(A42,""price"",TODAY()-300,TODAY()),1,0),""select Col2 limit 100""))"),5269.4)</f>
        <v>5269.4</v>
      </c>
      <c r="E42" s="54">
        <f>IFERROR(__xludf.DUMMYFUNCTION("AVERAGE(QUERY(SORT(GOOGLEFINANCE(A42,""price"",TODAY()-500,TODAY()),1,0),""select Col2 limit 200""))"),5486.1775)</f>
        <v>5486.1775</v>
      </c>
      <c r="F42" s="46" t="str">
        <f t="shared" si="1"/>
        <v>Unconfirmed</v>
      </c>
      <c r="G42" s="48">
        <f t="shared" si="2"/>
        <v>-17.37416443</v>
      </c>
    </row>
    <row r="43">
      <c r="A43" s="52" t="s">
        <v>60</v>
      </c>
      <c r="B43" s="53">
        <f>IFERROR(__xludf.DUMMYFUNCTION("GOOGLEFINANCE(A43,""price"")"),1545.0)</f>
        <v>1545</v>
      </c>
      <c r="C43" s="54">
        <f>IFERROR(__xludf.DUMMYFUNCTION("AVERAGE(QUERY(SORT(GOOGLEFINANCE(A43,""price"",TODAY()-150,TODAY()),1,0),""select Col2 limit 50""))"),1631.21)</f>
        <v>1631.21</v>
      </c>
      <c r="D43" s="54">
        <f>IFERROR(__xludf.DUMMYFUNCTION("AVERAGE(QUERY(SORT(GOOGLEFINANCE(A43,""price"",TODAY()-300,TODAY()),1,0),""select Col2 limit 100""))"),1654.8419999999999)</f>
        <v>1654.842</v>
      </c>
      <c r="E43" s="54">
        <f>IFERROR(__xludf.DUMMYFUNCTION("AVERAGE(QUERY(SORT(GOOGLEFINANCE(A43,""price"",TODAY()-500,TODAY()),1,0),""select Col2 limit 200""))"),1776.8514999999993)</f>
        <v>1776.8515</v>
      </c>
      <c r="F43" s="46" t="str">
        <f t="shared" si="1"/>
        <v>Unconfirmed</v>
      </c>
      <c r="G43" s="48">
        <f t="shared" si="2"/>
        <v>-13.04844552</v>
      </c>
    </row>
    <row r="44">
      <c r="A44" s="52" t="s">
        <v>61</v>
      </c>
      <c r="B44" s="53">
        <f>IFERROR(__xludf.DUMMYFUNCTION("GOOGLEFINANCE(A44,""price"")"),6690.0)</f>
        <v>6690</v>
      </c>
      <c r="C44" s="54">
        <f>IFERROR(__xludf.DUMMYFUNCTION("AVERAGE(QUERY(SORT(GOOGLEFINANCE(A44,""price"",TODAY()-150,TODAY()),1,0),""select Col2 limit 50""))"),6189.46)</f>
        <v>6189.46</v>
      </c>
      <c r="D44" s="54">
        <f>IFERROR(__xludf.DUMMYFUNCTION("AVERAGE(QUERY(SORT(GOOGLEFINANCE(A44,""price"",TODAY()-300,TODAY()),1,0),""select Col2 limit 100""))"),6086.32)</f>
        <v>6086.32</v>
      </c>
      <c r="E44" s="54">
        <f>IFERROR(__xludf.DUMMYFUNCTION("AVERAGE(QUERY(SORT(GOOGLEFINANCE(A44,""price"",TODAY()-500,TODAY()),1,0),""select Col2 limit 200""))"),6394.6025)</f>
        <v>6394.6025</v>
      </c>
      <c r="F44" s="46" t="str">
        <f t="shared" si="1"/>
        <v>Unconfirmed</v>
      </c>
      <c r="G44" s="48">
        <f t="shared" si="2"/>
        <v>4.619481821</v>
      </c>
    </row>
    <row r="45">
      <c r="A45" s="52" t="s">
        <v>62</v>
      </c>
      <c r="B45" s="53">
        <f>IFERROR(__xludf.DUMMYFUNCTION("GOOGLEFINANCE(A45,""price"")"),26880.0)</f>
        <v>26880</v>
      </c>
      <c r="C45" s="54">
        <f>IFERROR(__xludf.DUMMYFUNCTION("AVERAGE(QUERY(SORT(GOOGLEFINANCE(A45,""price"",TODAY()-150,TODAY()),1,0),""select Col2 limit 50""))"),27517.1)</f>
        <v>27517.1</v>
      </c>
      <c r="D45" s="54">
        <f>IFERROR(__xludf.DUMMYFUNCTION("AVERAGE(QUERY(SORT(GOOGLEFINANCE(A45,""price"",TODAY()-300,TODAY()),1,0),""select Col2 limit 100""))"),28446.15)</f>
        <v>28446.15</v>
      </c>
      <c r="E45" s="54">
        <f>IFERROR(__xludf.DUMMYFUNCTION("AVERAGE(QUERY(SORT(GOOGLEFINANCE(A45,""price"",TODAY()-500,TODAY()),1,0),""select Col2 limit 200""))"),30313.65)</f>
        <v>30313.65</v>
      </c>
      <c r="F45" s="46" t="str">
        <f t="shared" si="1"/>
        <v>Unconfirmed</v>
      </c>
      <c r="G45" s="48">
        <f t="shared" si="2"/>
        <v>-11.32707543</v>
      </c>
    </row>
    <row r="46">
      <c r="A46" s="52" t="s">
        <v>63</v>
      </c>
      <c r="B46" s="53">
        <f>IFERROR(__xludf.DUMMYFUNCTION("GOOGLEFINANCE(A46,""price"")"),1452.9)</f>
        <v>1452.9</v>
      </c>
      <c r="C46" s="54">
        <f>IFERROR(__xludf.DUMMYFUNCTION("AVERAGE(QUERY(SORT(GOOGLEFINANCE(A46,""price"",TODAY()-150,TODAY()),1,0),""select Col2 limit 50""))"),1545.7480000000003)</f>
        <v>1545.748</v>
      </c>
      <c r="D46" s="54">
        <f>IFERROR(__xludf.DUMMYFUNCTION("AVERAGE(QUERY(SORT(GOOGLEFINANCE(A46,""price"",TODAY()-300,TODAY()),1,0),""select Col2 limit 100""))"),1631.9209999999998)</f>
        <v>1631.921</v>
      </c>
      <c r="E46" s="54">
        <f>IFERROR(__xludf.DUMMYFUNCTION("AVERAGE(QUERY(SORT(GOOGLEFINANCE(A46,""price"",TODAY()-500,TODAY()),1,0),""select Col2 limit 200""))"),1762.4529999999993)</f>
        <v>1762.453</v>
      </c>
      <c r="F46" s="46" t="str">
        <f t="shared" si="1"/>
        <v>Unconfirmed</v>
      </c>
      <c r="G46" s="48">
        <f t="shared" si="2"/>
        <v>-17.56375915</v>
      </c>
    </row>
    <row r="47">
      <c r="A47" s="52" t="s">
        <v>64</v>
      </c>
      <c r="B47" s="53">
        <f>IFERROR(__xludf.DUMMYFUNCTION("GOOGLEFINANCE(A47,""price"")"),3102.0)</f>
        <v>3102</v>
      </c>
      <c r="C47" s="54">
        <f>IFERROR(__xludf.DUMMYFUNCTION("AVERAGE(QUERY(SORT(GOOGLEFINANCE(A47,""price"",TODAY()-150,TODAY()),1,0),""select Col2 limit 50""))"),2979.1079999999993)</f>
        <v>2979.108</v>
      </c>
      <c r="D47" s="54">
        <f>IFERROR(__xludf.DUMMYFUNCTION("AVERAGE(QUERY(SORT(GOOGLEFINANCE(A47,""price"",TODAY()-300,TODAY()),1,0),""select Col2 limit 100""))"),3013.9150000000004)</f>
        <v>3013.915</v>
      </c>
      <c r="E47" s="54">
        <f>IFERROR(__xludf.DUMMYFUNCTION("AVERAGE(QUERY(SORT(GOOGLEFINANCE(A47,""price"",TODAY()-500,TODAY()),1,0),""select Col2 limit 200""))"),3227.4260000000013)</f>
        <v>3227.426</v>
      </c>
      <c r="F47" s="46" t="str">
        <f t="shared" si="1"/>
        <v>Unconfirmed</v>
      </c>
      <c r="G47" s="48">
        <f t="shared" si="2"/>
        <v>-3.886254867</v>
      </c>
    </row>
    <row r="48">
      <c r="A48" s="52" t="s">
        <v>65</v>
      </c>
      <c r="B48" s="53">
        <f>IFERROR(__xludf.DUMMYFUNCTION("GOOGLEFINANCE(A48,""price"")"),582.75)</f>
        <v>582.75</v>
      </c>
      <c r="C48" s="54">
        <f>IFERROR(__xludf.DUMMYFUNCTION("AVERAGE(QUERY(SORT(GOOGLEFINANCE(A48,""price"",TODAY()-150,TODAY()),1,0),""select Col2 limit 50""))"),635.407)</f>
        <v>635.407</v>
      </c>
      <c r="D48" s="54">
        <f>IFERROR(__xludf.DUMMYFUNCTION("AVERAGE(QUERY(SORT(GOOGLEFINANCE(A48,""price"",TODAY()-300,TODAY()),1,0),""select Col2 limit 100""))"),658.3310000000002)</f>
        <v>658.331</v>
      </c>
      <c r="E48" s="54">
        <f>IFERROR(__xludf.DUMMYFUNCTION("AVERAGE(QUERY(SORT(GOOGLEFINANCE(A48,""price"",TODAY()-500,TODAY()),1,0),""select Col2 limit 200""))"),685.0237500000002)</f>
        <v>685.02375</v>
      </c>
      <c r="F48" s="46" t="str">
        <f t="shared" si="1"/>
        <v>Unconfirmed</v>
      </c>
      <c r="G48" s="48">
        <f t="shared" si="2"/>
        <v>-14.92995681</v>
      </c>
    </row>
    <row r="49">
      <c r="A49" s="52" t="s">
        <v>66</v>
      </c>
      <c r="B49" s="53">
        <f>IFERROR(__xludf.DUMMYFUNCTION("GOOGLEFINANCE(A49,""price"")"),527.55)</f>
        <v>527.55</v>
      </c>
      <c r="C49" s="54">
        <f>IFERROR(__xludf.DUMMYFUNCTION("AVERAGE(QUERY(SORT(GOOGLEFINANCE(A49,""price"",TODAY()-150,TODAY()),1,0),""select Col2 limit 50""))"),526.284)</f>
        <v>526.284</v>
      </c>
      <c r="D49" s="54">
        <f>IFERROR(__xludf.DUMMYFUNCTION("AVERAGE(QUERY(SORT(GOOGLEFINANCE(A49,""price"",TODAY()-300,TODAY()),1,0),""select Col2 limit 100""))"),543.0195000000001)</f>
        <v>543.0195</v>
      </c>
      <c r="E49" s="54">
        <f>IFERROR(__xludf.DUMMYFUNCTION("AVERAGE(QUERY(SORT(GOOGLEFINANCE(A49,""price"",TODAY()-500,TODAY()),1,0),""select Col2 limit 200""))"),566.9745)</f>
        <v>566.9745</v>
      </c>
      <c r="F49" s="46" t="str">
        <f t="shared" si="1"/>
        <v>Unconfirmed</v>
      </c>
      <c r="G49" s="48">
        <f t="shared" si="2"/>
        <v>-6.953487326</v>
      </c>
    </row>
    <row r="50">
      <c r="A50" s="52" t="s">
        <v>67</v>
      </c>
      <c r="B50" s="53">
        <f>IFERROR(__xludf.DUMMYFUNCTION("GOOGLEFINANCE(A50,""price"")"),40.18)</f>
        <v>40.18</v>
      </c>
      <c r="C50" s="54">
        <f>IFERROR(__xludf.DUMMYFUNCTION("AVERAGE(QUERY(SORT(GOOGLEFINANCE(A50,""price"",TODAY()-150,TODAY()),1,0),""select Col2 limit 50""))"),41.711000000000006)</f>
        <v>41.711</v>
      </c>
      <c r="D50" s="54">
        <f>IFERROR(__xludf.DUMMYFUNCTION("AVERAGE(QUERY(SORT(GOOGLEFINANCE(A50,""price"",TODAY()-300,TODAY()),1,0),""select Col2 limit 100""))"),42.42190000000001)</f>
        <v>42.4219</v>
      </c>
      <c r="E50" s="54">
        <f>IFERROR(__xludf.DUMMYFUNCTION("AVERAGE(QUERY(SORT(GOOGLEFINANCE(A50,""price"",TODAY()-500,TODAY()),1,0),""select Col2 limit 200""))"),44.62925000000001)</f>
        <v>44.62925</v>
      </c>
      <c r="F50" s="46" t="str">
        <f t="shared" si="1"/>
        <v>In Bear Run</v>
      </c>
      <c r="G50" s="48">
        <f t="shared" si="2"/>
        <v>-9.969358661</v>
      </c>
    </row>
    <row r="51">
      <c r="A51" s="52" t="s">
        <v>68</v>
      </c>
      <c r="B51" s="53">
        <f>IFERROR(__xludf.DUMMYFUNCTION("GOOGLEFINANCE(A51,""price"")"),295.3)</f>
        <v>295.3</v>
      </c>
      <c r="C51" s="54">
        <f>IFERROR(__xludf.DUMMYFUNCTION("AVERAGE(QUERY(SORT(GOOGLEFINANCE(A51,""price"",TODAY()-150,TODAY()),1,0),""select Col2 limit 50""))"),275.419)</f>
        <v>275.419</v>
      </c>
      <c r="D51" s="54">
        <f>IFERROR(__xludf.DUMMYFUNCTION("AVERAGE(QUERY(SORT(GOOGLEFINANCE(A51,""price"",TODAY()-300,TODAY()),1,0),""select Col2 limit 100""))"),276.26750000000004)</f>
        <v>276.2675</v>
      </c>
      <c r="E51" s="54">
        <f>IFERROR(__xludf.DUMMYFUNCTION("AVERAGE(QUERY(SORT(GOOGLEFINANCE(A51,""price"",TODAY()-500,TODAY()),1,0),""select Col2 limit 200""))"),283.3410000000001)</f>
        <v>283.341</v>
      </c>
      <c r="F51" s="46" t="str">
        <f t="shared" si="1"/>
        <v>Unconfirmed</v>
      </c>
      <c r="G51" s="48">
        <f t="shared" si="2"/>
        <v>4.220709322</v>
      </c>
    </row>
    <row r="52">
      <c r="A52" s="52" t="s">
        <v>69</v>
      </c>
      <c r="B52" s="53">
        <f>IFERROR(__xludf.DUMMYFUNCTION("GOOGLEFINANCE(A52,""price"")"),1558.8)</f>
        <v>1558.8</v>
      </c>
      <c r="C52" s="54">
        <f>IFERROR(__xludf.DUMMYFUNCTION("AVERAGE(QUERY(SORT(GOOGLEFINANCE(A52,""price"",TODAY()-150,TODAY()),1,0),""select Col2 limit 50""))"),1695.0519999999995)</f>
        <v>1695.052</v>
      </c>
      <c r="D52" s="54">
        <f>IFERROR(__xludf.DUMMYFUNCTION("AVERAGE(QUERY(SORT(GOOGLEFINANCE(A52,""price"",TODAY()-300,TODAY()),1,0),""select Col2 limit 100""))"),1768.9669999999999)</f>
        <v>1768.967</v>
      </c>
      <c r="E52" s="54">
        <f>IFERROR(__xludf.DUMMYFUNCTION("AVERAGE(QUERY(SORT(GOOGLEFINANCE(A52,""price"",TODAY()-500,TODAY()),1,0),""select Col2 limit 200""))"),1822.0420000000006)</f>
        <v>1822.042</v>
      </c>
      <c r="F52" s="46" t="str">
        <f t="shared" si="1"/>
        <v>Unconfirmed</v>
      </c>
      <c r="G52" s="48">
        <f t="shared" si="2"/>
        <v>-14.44763622</v>
      </c>
    </row>
    <row r="53">
      <c r="A53" s="52" t="s">
        <v>70</v>
      </c>
      <c r="B53" s="53">
        <f>IFERROR(__xludf.DUMMYFUNCTION("GOOGLEFINANCE(A53,""price"")"),402.25)</f>
        <v>402.25</v>
      </c>
      <c r="C53" s="54">
        <f>IFERROR(__xludf.DUMMYFUNCTION("AVERAGE(QUERY(SORT(GOOGLEFINANCE(A53,""price"",TODAY()-150,TODAY()),1,0),""select Col2 limit 50""))"),437.81899999999985)</f>
        <v>437.819</v>
      </c>
      <c r="D53" s="54">
        <f>IFERROR(__xludf.DUMMYFUNCTION("AVERAGE(QUERY(SORT(GOOGLEFINANCE(A53,""price"",TODAY()-300,TODAY()),1,0),""select Col2 limit 100""))"),465.6014999999997)</f>
        <v>465.6015</v>
      </c>
      <c r="E53" s="54">
        <f>IFERROR(__xludf.DUMMYFUNCTION("AVERAGE(QUERY(SORT(GOOGLEFINANCE(A53,""price"",TODAY()-500,TODAY()),1,0),""select Col2 limit 200""))"),503.38700000000006)</f>
        <v>503.387</v>
      </c>
      <c r="F53" s="46" t="str">
        <f t="shared" si="1"/>
        <v>Unconfirmed</v>
      </c>
      <c r="G53" s="48">
        <f t="shared" si="2"/>
        <v>-20.09130152</v>
      </c>
    </row>
    <row r="54">
      <c r="A54" s="52" t="s">
        <v>71</v>
      </c>
      <c r="B54" s="53">
        <f>IFERROR(__xludf.DUMMYFUNCTION("GOOGLEFINANCE(A54,""price"")"),570.0)</f>
        <v>570</v>
      </c>
      <c r="C54" s="54">
        <f>IFERROR(__xludf.DUMMYFUNCTION("AVERAGE(QUERY(SORT(GOOGLEFINANCE(A54,""price"",TODAY()-150,TODAY()),1,0),""select Col2 limit 50""))"),637.647)</f>
        <v>637.647</v>
      </c>
      <c r="D54" s="54">
        <f>IFERROR(__xludf.DUMMYFUNCTION("AVERAGE(QUERY(SORT(GOOGLEFINANCE(A54,""price"",TODAY()-300,TODAY()),1,0),""select Col2 limit 100""))"),668.6899999999998)</f>
        <v>668.69</v>
      </c>
      <c r="E54" s="54">
        <f>IFERROR(__xludf.DUMMYFUNCTION("AVERAGE(QUERY(SORT(GOOGLEFINANCE(A54,""price"",TODAY()-500,TODAY()),1,0),""select Col2 limit 200""))"),708.635)</f>
        <v>708.635</v>
      </c>
      <c r="F54" s="46" t="str">
        <f t="shared" si="1"/>
        <v>Unconfirmed</v>
      </c>
      <c r="G54" s="48">
        <f t="shared" si="2"/>
        <v>-19.56366818</v>
      </c>
    </row>
    <row r="55">
      <c r="A55" s="52" t="s">
        <v>72</v>
      </c>
      <c r="B55" s="53">
        <f>IFERROR(__xludf.DUMMYFUNCTION("GOOGLEFINANCE(A55,""price"")"),88.1)</f>
        <v>88.1</v>
      </c>
      <c r="C55" s="54">
        <f>IFERROR(__xludf.DUMMYFUNCTION("AVERAGE(QUERY(SORT(GOOGLEFINANCE(A55,""price"",TODAY()-150,TODAY()),1,0),""select Col2 limit 50""))"),90.76160000000002)</f>
        <v>90.7616</v>
      </c>
      <c r="D55" s="54">
        <f>IFERROR(__xludf.DUMMYFUNCTION("AVERAGE(QUERY(SORT(GOOGLEFINANCE(A55,""price"",TODAY()-300,TODAY()),1,0),""select Col2 limit 100""))"),93.94790000000005)</f>
        <v>93.9479</v>
      </c>
      <c r="E55" s="54">
        <f>IFERROR(__xludf.DUMMYFUNCTION("AVERAGE(QUERY(SORT(GOOGLEFINANCE(A55,""price"",TODAY()-500,TODAY()),1,0),""select Col2 limit 200""))"),99.88045000000002)</f>
        <v>99.88045</v>
      </c>
      <c r="F55" s="46" t="str">
        <f t="shared" si="1"/>
        <v>Unconfirmed</v>
      </c>
      <c r="G55" s="48">
        <f t="shared" si="2"/>
        <v>-11.79455038</v>
      </c>
    </row>
    <row r="56">
      <c r="A56" s="52" t="s">
        <v>73</v>
      </c>
      <c r="B56" s="53">
        <f>IFERROR(__xludf.DUMMYFUNCTION("GOOGLEFINANCE(A56,""price"")"),713.0)</f>
        <v>713</v>
      </c>
      <c r="C56" s="54">
        <f>IFERROR(__xludf.DUMMYFUNCTION("AVERAGE(QUERY(SORT(GOOGLEFINANCE(A56,""price"",TODAY()-150,TODAY()),1,0),""select Col2 limit 50""))"),646.3879999999999)</f>
        <v>646.388</v>
      </c>
      <c r="D56" s="54">
        <f>IFERROR(__xludf.DUMMYFUNCTION("AVERAGE(QUERY(SORT(GOOGLEFINANCE(A56,""price"",TODAY()-300,TODAY()),1,0),""select Col2 limit 100""))"),680.4859999999996)</f>
        <v>680.486</v>
      </c>
      <c r="E56" s="54">
        <f>IFERROR(__xludf.DUMMYFUNCTION("AVERAGE(QUERY(SORT(GOOGLEFINANCE(A56,""price"",TODAY()-500,TODAY()),1,0),""select Col2 limit 200""))"),689.5812500000002)</f>
        <v>689.58125</v>
      </c>
      <c r="F56" s="46" t="str">
        <f t="shared" si="1"/>
        <v>Unconfirmed</v>
      </c>
      <c r="G56" s="48">
        <f t="shared" si="2"/>
        <v>3.396082768</v>
      </c>
    </row>
    <row r="57">
      <c r="A57" s="52" t="s">
        <v>74</v>
      </c>
      <c r="B57" s="53">
        <f>IFERROR(__xludf.DUMMYFUNCTION("GOOGLEFINANCE(A57,""price"")"),1358.0)</f>
        <v>1358</v>
      </c>
      <c r="C57" s="54">
        <f>IFERROR(__xludf.DUMMYFUNCTION("AVERAGE(QUERY(SORT(GOOGLEFINANCE(A57,""price"",TODAY()-150,TODAY()),1,0),""select Col2 limit 50""))"),1393.8059999999998)</f>
        <v>1393.806</v>
      </c>
      <c r="D57" s="54">
        <f>IFERROR(__xludf.DUMMYFUNCTION("AVERAGE(QUERY(SORT(GOOGLEFINANCE(A57,""price"",TODAY()-300,TODAY()),1,0),""select Col2 limit 100""))"),1424.818)</f>
        <v>1424.818</v>
      </c>
      <c r="E57" s="54">
        <f>IFERROR(__xludf.DUMMYFUNCTION("AVERAGE(QUERY(SORT(GOOGLEFINANCE(A57,""price"",TODAY()-500,TODAY()),1,0),""select Col2 limit 200""))"),1483.905)</f>
        <v>1483.905</v>
      </c>
      <c r="F57" s="46" t="str">
        <f t="shared" si="1"/>
        <v>In Bear Run</v>
      </c>
      <c r="G57" s="48">
        <f t="shared" si="2"/>
        <v>-8.484707579</v>
      </c>
    </row>
    <row r="58">
      <c r="A58" s="52" t="s">
        <v>75</v>
      </c>
      <c r="B58" s="53">
        <f>IFERROR(__xludf.DUMMYFUNCTION("GOOGLEFINANCE(A58,""price"")"),755.0)</f>
        <v>755</v>
      </c>
      <c r="C58" s="54">
        <f>IFERROR(__xludf.DUMMYFUNCTION("AVERAGE(QUERY(SORT(GOOGLEFINANCE(A58,""price"",TODAY()-150,TODAY()),1,0),""select Col2 limit 50""))"),1043.017)</f>
        <v>1043.017</v>
      </c>
      <c r="D58" s="54">
        <f>IFERROR(__xludf.DUMMYFUNCTION("AVERAGE(QUERY(SORT(GOOGLEFINANCE(A58,""price"",TODAY()-300,TODAY()),1,0),""select Col2 limit 100""))"),1118.3484999999998)</f>
        <v>1118.3485</v>
      </c>
      <c r="E58" s="54">
        <f>IFERROR(__xludf.DUMMYFUNCTION("AVERAGE(QUERY(SORT(GOOGLEFINANCE(A58,""price"",TODAY()-500,TODAY()),1,0),""select Col2 limit 200""))"),1193.6797499999996)</f>
        <v>1193.67975</v>
      </c>
      <c r="F58" s="46" t="str">
        <f t="shared" si="1"/>
        <v>Unconfirmed</v>
      </c>
      <c r="G58" s="48">
        <f t="shared" si="2"/>
        <v>-36.75020457</v>
      </c>
    </row>
    <row r="59">
      <c r="A59" s="52" t="s">
        <v>76</v>
      </c>
      <c r="B59" s="53">
        <f>IFERROR(__xludf.DUMMYFUNCTION("GOOGLEFINANCE(A59,""price"")"),167.16)</f>
        <v>167.16</v>
      </c>
      <c r="C59" s="54">
        <f>IFERROR(__xludf.DUMMYFUNCTION("AVERAGE(QUERY(SORT(GOOGLEFINANCE(A59,""price"",TODAY()-150,TODAY()),1,0),""select Col2 limit 50""))"),180.0482)</f>
        <v>180.0482</v>
      </c>
      <c r="D59" s="54">
        <f>IFERROR(__xludf.DUMMYFUNCTION("AVERAGE(QUERY(SORT(GOOGLEFINANCE(A59,""price"",TODAY()-300,TODAY()),1,0),""select Col2 limit 100""))"),192.28919999999988)</f>
        <v>192.2892</v>
      </c>
      <c r="E59" s="54">
        <f>IFERROR(__xludf.DUMMYFUNCTION("AVERAGE(QUERY(SORT(GOOGLEFINANCE(A59,""price"",TODAY()-500,TODAY()),1,0),""select Col2 limit 200""))"),201.27025)</f>
        <v>201.27025</v>
      </c>
      <c r="F59" s="46" t="str">
        <f t="shared" si="1"/>
        <v>Unconfirmed</v>
      </c>
      <c r="G59" s="48">
        <f t="shared" si="2"/>
        <v>-16.94748727</v>
      </c>
    </row>
    <row r="60">
      <c r="A60" s="52" t="s">
        <v>77</v>
      </c>
      <c r="B60" s="53">
        <f>IFERROR(__xludf.DUMMYFUNCTION("GOOGLEFINANCE(A60,""price"")"),498.15)</f>
        <v>498.15</v>
      </c>
      <c r="C60" s="54">
        <f>IFERROR(__xludf.DUMMYFUNCTION("AVERAGE(QUERY(SORT(GOOGLEFINANCE(A60,""price"",TODAY()-150,TODAY()),1,0),""select Col2 limit 50""))"),530.8810000000001)</f>
        <v>530.881</v>
      </c>
      <c r="D60" s="54">
        <f>IFERROR(__xludf.DUMMYFUNCTION("AVERAGE(QUERY(SORT(GOOGLEFINANCE(A60,""price"",TODAY()-300,TODAY()),1,0),""select Col2 limit 100""))"),552.8485000000001)</f>
        <v>552.8485</v>
      </c>
      <c r="E60" s="54">
        <f>IFERROR(__xludf.DUMMYFUNCTION("AVERAGE(QUERY(SORT(GOOGLEFINANCE(A60,""price"",TODAY()-500,TODAY()),1,0),""select Col2 limit 200""))"),569.8604999999998)</f>
        <v>569.8605</v>
      </c>
      <c r="F60" s="46" t="str">
        <f t="shared" si="1"/>
        <v>Unconfirmed</v>
      </c>
      <c r="G60" s="48">
        <f t="shared" si="2"/>
        <v>-12.58386921</v>
      </c>
    </row>
    <row r="61">
      <c r="A61" s="52" t="s">
        <v>78</v>
      </c>
      <c r="B61" s="53">
        <f>IFERROR(__xludf.DUMMYFUNCTION("GOOGLEFINANCE(A61,""price"")"),35.35)</f>
        <v>35.35</v>
      </c>
      <c r="C61" s="54">
        <f>IFERROR(__xludf.DUMMYFUNCTION("AVERAGE(QUERY(SORT(GOOGLEFINANCE(A61,""price"",TODAY()-150,TODAY()),1,0),""select Col2 limit 50""))"),35.376999999999995)</f>
        <v>35.377</v>
      </c>
      <c r="D61" s="54">
        <f>IFERROR(__xludf.DUMMYFUNCTION("AVERAGE(QUERY(SORT(GOOGLEFINANCE(A61,""price"",TODAY()-300,TODAY()),1,0),""select Col2 limit 100""))"),37.16829999999999)</f>
        <v>37.1683</v>
      </c>
      <c r="E61" s="54">
        <f>IFERROR(__xludf.DUMMYFUNCTION("AVERAGE(QUERY(SORT(GOOGLEFINANCE(A61,""price"",TODAY()-500,TODAY()),1,0),""select Col2 limit 200""))"),37.906199999999984)</f>
        <v>37.9062</v>
      </c>
      <c r="F61" s="46" t="str">
        <f t="shared" si="1"/>
        <v>In Bear Run</v>
      </c>
      <c r="G61" s="48">
        <f t="shared" si="2"/>
        <v>-6.743487873</v>
      </c>
    </row>
    <row r="62">
      <c r="A62" s="52" t="s">
        <v>79</v>
      </c>
      <c r="B62" s="53">
        <f>IFERROR(__xludf.DUMMYFUNCTION("GOOGLEFINANCE(A62,""price"")"),480.25)</f>
        <v>480.25</v>
      </c>
      <c r="C62" s="54">
        <f>IFERROR(__xludf.DUMMYFUNCTION("AVERAGE(QUERY(SORT(GOOGLEFINANCE(A62,""price"",TODAY()-150,TODAY()),1,0),""select Col2 limit 50""))"),509.67499999999995)</f>
        <v>509.675</v>
      </c>
      <c r="D62" s="54">
        <f>IFERROR(__xludf.DUMMYFUNCTION("AVERAGE(QUERY(SORT(GOOGLEFINANCE(A62,""price"",TODAY()-300,TODAY()),1,0),""select Col2 limit 100""))"),516.1129999999997)</f>
        <v>516.113</v>
      </c>
      <c r="E62" s="54">
        <f>IFERROR(__xludf.DUMMYFUNCTION("AVERAGE(QUERY(SORT(GOOGLEFINANCE(A62,""price"",TODAY()-500,TODAY()),1,0),""select Col2 limit 200""))"),548.00205)</f>
        <v>548.00205</v>
      </c>
      <c r="F62" s="46" t="str">
        <f t="shared" si="1"/>
        <v>Unconfirmed</v>
      </c>
      <c r="G62" s="48">
        <f t="shared" si="2"/>
        <v>-12.36346652</v>
      </c>
    </row>
    <row r="63">
      <c r="A63" s="52" t="s">
        <v>80</v>
      </c>
      <c r="B63" s="53">
        <f>IFERROR(__xludf.DUMMYFUNCTION("GOOGLEFINANCE(A63,""price"")"),2308.1)</f>
        <v>2308.1</v>
      </c>
      <c r="C63" s="54">
        <f>IFERROR(__xludf.DUMMYFUNCTION("AVERAGE(QUERY(SORT(GOOGLEFINANCE(A63,""price"",TODAY()-150,TODAY()),1,0),""select Col2 limit 50""))"),2448.1319999999996)</f>
        <v>2448.132</v>
      </c>
      <c r="D63" s="54">
        <f>IFERROR(__xludf.DUMMYFUNCTION("AVERAGE(QUERY(SORT(GOOGLEFINANCE(A63,""price"",TODAY()-300,TODAY()),1,0),""select Col2 limit 100""))"),2384.85)</f>
        <v>2384.85</v>
      </c>
      <c r="E63" s="54">
        <f>IFERROR(__xludf.DUMMYFUNCTION("AVERAGE(QUERY(SORT(GOOGLEFINANCE(A63,""price"",TODAY()-500,TODAY()),1,0),""select Col2 limit 200""))"),2440.011499999999)</f>
        <v>2440.0115</v>
      </c>
      <c r="F63" s="46" t="str">
        <f t="shared" si="1"/>
        <v>Unconfirmed</v>
      </c>
      <c r="G63" s="48">
        <f t="shared" si="2"/>
        <v>-5.406183536</v>
      </c>
    </row>
    <row r="64">
      <c r="A64" s="52" t="s">
        <v>81</v>
      </c>
      <c r="B64" s="53">
        <f>IFERROR(__xludf.DUMMYFUNCTION("GOOGLEFINANCE(A64,""price"")"),1729.3)</f>
        <v>1729.3</v>
      </c>
      <c r="C64" s="54">
        <f>IFERROR(__xludf.DUMMYFUNCTION("AVERAGE(QUERY(SORT(GOOGLEFINANCE(A64,""price"",TODAY()-150,TODAY()),1,0),""select Col2 limit 50""))"),1841.1800000000003)</f>
        <v>1841.18</v>
      </c>
      <c r="D64" s="54">
        <f>IFERROR(__xludf.DUMMYFUNCTION("AVERAGE(QUERY(SORT(GOOGLEFINANCE(A64,""price"",TODAY()-300,TODAY()),1,0),""select Col2 limit 100""))"),1993.6609999999994)</f>
        <v>1993.661</v>
      </c>
      <c r="E64" s="54">
        <f>IFERROR(__xludf.DUMMYFUNCTION("AVERAGE(QUERY(SORT(GOOGLEFINANCE(A64,""price"",TODAY()-500,TODAY()),1,0),""select Col2 limit 200""))"),2085.105499999999)</f>
        <v>2085.1055</v>
      </c>
      <c r="F64" s="46" t="str">
        <f t="shared" si="1"/>
        <v>Unconfirmed</v>
      </c>
      <c r="G64" s="48">
        <f t="shared" si="2"/>
        <v>-17.06414855</v>
      </c>
    </row>
    <row r="65">
      <c r="A65" s="52" t="s">
        <v>82</v>
      </c>
      <c r="B65" s="53">
        <f>IFERROR(__xludf.DUMMYFUNCTION("GOOGLEFINANCE(A65,""price"")"),1131.0)</f>
        <v>1131</v>
      </c>
      <c r="C65" s="54">
        <f>IFERROR(__xludf.DUMMYFUNCTION("AVERAGE(QUERY(SORT(GOOGLEFINANCE(A65,""price"",TODAY()-150,TODAY()),1,0),""select Col2 limit 50""))"),1144.2)</f>
        <v>1144.2</v>
      </c>
      <c r="D65" s="54">
        <f>IFERROR(__xludf.DUMMYFUNCTION("AVERAGE(QUERY(SORT(GOOGLEFINANCE(A65,""price"",TODAY()-300,TODAY()),1,0),""select Col2 limit 100""))"),1202.6149999999998)</f>
        <v>1202.615</v>
      </c>
      <c r="E65" s="54">
        <f>IFERROR(__xludf.DUMMYFUNCTION("AVERAGE(QUERY(SORT(GOOGLEFINANCE(A65,""price"",TODAY()-500,TODAY()),1,0),""select Col2 limit 200""))"),1243.864)</f>
        <v>1243.864</v>
      </c>
      <c r="F65" s="46" t="str">
        <f t="shared" si="1"/>
        <v>In Bear Run</v>
      </c>
      <c r="G65" s="48">
        <f t="shared" si="2"/>
        <v>-9.073660786</v>
      </c>
    </row>
    <row r="66">
      <c r="A66" s="52" t="s">
        <v>83</v>
      </c>
      <c r="B66" s="53">
        <f>IFERROR(__xludf.DUMMYFUNCTION("GOOGLEFINANCE(A66,""price"")"),323.75)</f>
        <v>323.75</v>
      </c>
      <c r="C66" s="54">
        <f>IFERROR(__xludf.DUMMYFUNCTION("AVERAGE(QUERY(SORT(GOOGLEFINANCE(A66,""price"",TODAY()-150,TODAY()),1,0),""select Col2 limit 50""))"),343.612)</f>
        <v>343.612</v>
      </c>
      <c r="D66" s="54">
        <f>IFERROR(__xludf.DUMMYFUNCTION("AVERAGE(QUERY(SORT(GOOGLEFINANCE(A66,""price"",TODAY()-300,TODAY()),1,0),""select Col2 limit 100""))"),362.6225)</f>
        <v>362.6225</v>
      </c>
      <c r="E66" s="54">
        <f>IFERROR(__xludf.DUMMYFUNCTION("AVERAGE(QUERY(SORT(GOOGLEFINANCE(A66,""price"",TODAY()-500,TODAY()),1,0),""select Col2 limit 200""))"),377.59000000000015)</f>
        <v>377.59</v>
      </c>
      <c r="F66" s="46" t="str">
        <f t="shared" si="1"/>
        <v>Unconfirmed</v>
      </c>
      <c r="G66" s="48">
        <f t="shared" si="2"/>
        <v>-14.25885219</v>
      </c>
    </row>
    <row r="67">
      <c r="A67" s="52" t="s">
        <v>84</v>
      </c>
      <c r="B67" s="53">
        <f>IFERROR(__xludf.DUMMYFUNCTION("GOOGLEFINANCE(A67,""price"")"),339.85)</f>
        <v>339.85</v>
      </c>
      <c r="C67" s="54">
        <f>IFERROR(__xludf.DUMMYFUNCTION("AVERAGE(QUERY(SORT(GOOGLEFINANCE(A67,""price"",TODAY()-150,TODAY()),1,0),""select Col2 limit 50""))"),361.61400000000003)</f>
        <v>361.614</v>
      </c>
      <c r="D67" s="54">
        <f>IFERROR(__xludf.DUMMYFUNCTION("AVERAGE(QUERY(SORT(GOOGLEFINANCE(A67,""price"",TODAY()-300,TODAY()),1,0),""select Col2 limit 100""))"),361.94100000000003)</f>
        <v>361.941</v>
      </c>
      <c r="E67" s="54">
        <f>IFERROR(__xludf.DUMMYFUNCTION("AVERAGE(QUERY(SORT(GOOGLEFINANCE(A67,""price"",TODAY()-500,TODAY()),1,0),""select Col2 limit 200""))"),376.1532500000002)</f>
        <v>376.15325</v>
      </c>
      <c r="F67" s="46" t="str">
        <f t="shared" si="1"/>
        <v>In Bear Run</v>
      </c>
      <c r="G67" s="48">
        <f t="shared" si="2"/>
        <v>-9.651186052</v>
      </c>
    </row>
    <row r="68">
      <c r="A68" s="52" t="s">
        <v>85</v>
      </c>
      <c r="B68" s="53">
        <f>IFERROR(__xludf.DUMMYFUNCTION("GOOGLEFINANCE(A68,""price"")"),165.45)</f>
        <v>165.45</v>
      </c>
      <c r="C68" s="54">
        <f>IFERROR(__xludf.DUMMYFUNCTION("AVERAGE(QUERY(SORT(GOOGLEFINANCE(A68,""price"",TODAY()-150,TODAY()),1,0),""select Col2 limit 50""))"),166.62300000000002)</f>
        <v>166.623</v>
      </c>
      <c r="D68" s="54">
        <f>IFERROR(__xludf.DUMMYFUNCTION("AVERAGE(QUERY(SORT(GOOGLEFINANCE(A68,""price"",TODAY()-300,TODAY()),1,0),""select Col2 limit 100""))"),172.3949)</f>
        <v>172.3949</v>
      </c>
      <c r="E68" s="54">
        <f>IFERROR(__xludf.DUMMYFUNCTION("AVERAGE(QUERY(SORT(GOOGLEFINANCE(A68,""price"",TODAY()-500,TODAY()),1,0),""select Col2 limit 200""))"),177.56260000000006)</f>
        <v>177.5626</v>
      </c>
      <c r="F68" s="46" t="str">
        <f t="shared" si="1"/>
        <v>In Bear Run</v>
      </c>
      <c r="G68" s="48">
        <f t="shared" si="2"/>
        <v>-6.821594187</v>
      </c>
    </row>
    <row r="69">
      <c r="A69" s="52" t="s">
        <v>86</v>
      </c>
      <c r="B69" s="53">
        <f>IFERROR(__xludf.DUMMYFUNCTION("GOOGLEFINANCE(A69,""price"")"),252.85)</f>
        <v>252.85</v>
      </c>
      <c r="C69" s="54">
        <f>IFERROR(__xludf.DUMMYFUNCTION("AVERAGE(QUERY(SORT(GOOGLEFINANCE(A69,""price"",TODAY()-150,TODAY()),1,0),""select Col2 limit 50""))"),267.16400000000004)</f>
        <v>267.164</v>
      </c>
      <c r="D69" s="54">
        <f>IFERROR(__xludf.DUMMYFUNCTION("AVERAGE(QUERY(SORT(GOOGLEFINANCE(A69,""price"",TODAY()-300,TODAY()),1,0),""select Col2 limit 100""))"),275.5805000000001)</f>
        <v>275.5805</v>
      </c>
      <c r="E69" s="54">
        <f>IFERROR(__xludf.DUMMYFUNCTION("AVERAGE(QUERY(SORT(GOOGLEFINANCE(A69,""price"",TODAY()-500,TODAY()),1,0),""select Col2 limit 200""))"),291.63950000000006)</f>
        <v>291.6395</v>
      </c>
      <c r="F69" s="46" t="str">
        <f t="shared" si="1"/>
        <v>Unconfirmed</v>
      </c>
      <c r="G69" s="48">
        <f t="shared" si="2"/>
        <v>-13.30049599</v>
      </c>
    </row>
    <row r="70">
      <c r="A70" s="52" t="s">
        <v>87</v>
      </c>
      <c r="B70" s="53">
        <f>IFERROR(__xludf.DUMMYFUNCTION("GOOGLEFINANCE(A70,""price"")"),73.4)</f>
        <v>73.4</v>
      </c>
      <c r="C70" s="54">
        <f>IFERROR(__xludf.DUMMYFUNCTION("AVERAGE(QUERY(SORT(GOOGLEFINANCE(A70,""price"",TODAY()-150,TODAY()),1,0),""select Col2 limit 50""))"),78.2106)</f>
        <v>78.2106</v>
      </c>
      <c r="D70" s="54">
        <f>IFERROR(__xludf.DUMMYFUNCTION("AVERAGE(QUERY(SORT(GOOGLEFINANCE(A70,""price"",TODAY()-300,TODAY()),1,0),""select Col2 limit 100""))"),79.96319999999997)</f>
        <v>79.9632</v>
      </c>
      <c r="E70" s="54">
        <f>IFERROR(__xludf.DUMMYFUNCTION("AVERAGE(QUERY(SORT(GOOGLEFINANCE(A70,""price"",TODAY()-500,TODAY()),1,0),""select Col2 limit 200""))"),82.47179999999997)</f>
        <v>82.4718</v>
      </c>
      <c r="F70" s="46" t="str">
        <f t="shared" si="1"/>
        <v>Unconfirmed</v>
      </c>
      <c r="G70" s="48">
        <f t="shared" si="2"/>
        <v>-10.99988117</v>
      </c>
    </row>
    <row r="71">
      <c r="A71" s="52" t="s">
        <v>88</v>
      </c>
      <c r="B71" s="53">
        <f>IFERROR(__xludf.DUMMYFUNCTION("GOOGLEFINANCE(A71,""price"")"),3956.9)</f>
        <v>3956.9</v>
      </c>
      <c r="C71" s="54">
        <f>IFERROR(__xludf.DUMMYFUNCTION("AVERAGE(QUERY(SORT(GOOGLEFINANCE(A71,""price"",TODAY()-150,TODAY()),1,0),""select Col2 limit 50""))"),4304.543999999999)</f>
        <v>4304.544</v>
      </c>
      <c r="D71" s="54">
        <f>IFERROR(__xludf.DUMMYFUNCTION("AVERAGE(QUERY(SORT(GOOGLEFINANCE(A71,""price"",TODAY()-300,TODAY()),1,0),""select Col2 limit 100""))"),4467.6489999999985)</f>
        <v>4467.649</v>
      </c>
      <c r="E71" s="54">
        <f>IFERROR(__xludf.DUMMYFUNCTION("AVERAGE(QUERY(SORT(GOOGLEFINANCE(A71,""price"",TODAY()-500,TODAY()),1,0),""select Col2 limit 200""))"),4616.468999999997)</f>
        <v>4616.469</v>
      </c>
      <c r="F71" s="46" t="str">
        <f t="shared" si="1"/>
        <v>Unconfirmed</v>
      </c>
      <c r="G71" s="48">
        <f t="shared" si="2"/>
        <v>-14.28730486</v>
      </c>
    </row>
    <row r="72">
      <c r="A72" s="52" t="s">
        <v>89</v>
      </c>
      <c r="B72" s="53">
        <f>IFERROR(__xludf.DUMMYFUNCTION("GOOGLEFINANCE(A72,""price"")"),5980.0)</f>
        <v>5980</v>
      </c>
      <c r="C72" s="54">
        <f>IFERROR(__xludf.DUMMYFUNCTION("AVERAGE(QUERY(SORT(GOOGLEFINANCE(A72,""price"",TODAY()-150,TODAY()),1,0),""select Col2 limit 50""))"),5405.09)</f>
        <v>5405.09</v>
      </c>
      <c r="D72" s="54">
        <f>IFERROR(__xludf.DUMMYFUNCTION("AVERAGE(QUERY(SORT(GOOGLEFINANCE(A72,""price"",TODAY()-300,TODAY()),1,0),""select Col2 limit 100""))"),5278.845)</f>
        <v>5278.845</v>
      </c>
      <c r="E72" s="54">
        <f>IFERROR(__xludf.DUMMYFUNCTION("AVERAGE(QUERY(SORT(GOOGLEFINANCE(A72,""price"",TODAY()-500,TODAY()),1,0),""select Col2 limit 200""))"),5422.732500000002)</f>
        <v>5422.7325</v>
      </c>
      <c r="F72" s="46" t="str">
        <f t="shared" si="1"/>
        <v>Unconfirmed</v>
      </c>
      <c r="G72" s="48">
        <f t="shared" si="2"/>
        <v>10.27650728</v>
      </c>
    </row>
    <row r="73">
      <c r="A73" s="52" t="s">
        <v>90</v>
      </c>
      <c r="B73" s="53">
        <f>IFERROR(__xludf.DUMMYFUNCTION("GOOGLEFINANCE(A73,""price"")"),28.66)</f>
        <v>28.66</v>
      </c>
      <c r="C73" s="54">
        <f>IFERROR(__xludf.DUMMYFUNCTION("AVERAGE(QUERY(SORT(GOOGLEFINANCE(A73,""price"",TODAY()-150,TODAY()),1,0),""select Col2 limit 50""))"),29.0226)</f>
        <v>29.0226</v>
      </c>
      <c r="D73" s="54">
        <f>IFERROR(__xludf.DUMMYFUNCTION("AVERAGE(QUERY(SORT(GOOGLEFINANCE(A73,""price"",TODAY()-300,TODAY()),1,0),""select Col2 limit 100""))"),30.032000000000004)</f>
        <v>30.032</v>
      </c>
      <c r="E73" s="54">
        <f>IFERROR(__xludf.DUMMYFUNCTION("AVERAGE(QUERY(SORT(GOOGLEFINANCE(A73,""price"",TODAY()-500,TODAY()),1,0),""select Col2 limit 200""))"),30.299249999999994)</f>
        <v>30.29925</v>
      </c>
      <c r="F73" s="46" t="str">
        <f t="shared" si="1"/>
        <v>In Bear Run</v>
      </c>
      <c r="G73" s="48">
        <f t="shared" si="2"/>
        <v>-5.410199922</v>
      </c>
    </row>
    <row r="74">
      <c r="A74" s="52" t="s">
        <v>91</v>
      </c>
      <c r="B74" s="53">
        <f>IFERROR(__xludf.DUMMYFUNCTION("GOOGLEFINANCE(A74,""price"")"),2320.0)</f>
        <v>2320</v>
      </c>
      <c r="C74" s="54">
        <f>IFERROR(__xludf.DUMMYFUNCTION("AVERAGE(QUERY(SORT(GOOGLEFINANCE(A74,""price"",TODAY()-150,TODAY()),1,0),""select Col2 limit 50""))"),2356.62)</f>
        <v>2356.62</v>
      </c>
      <c r="D74" s="54">
        <f>IFERROR(__xludf.DUMMYFUNCTION("AVERAGE(QUERY(SORT(GOOGLEFINANCE(A74,""price"",TODAY()-300,TODAY()),1,0),""select Col2 limit 100""))"),2400.063000000001)</f>
        <v>2400.063</v>
      </c>
      <c r="E74" s="54">
        <f>IFERROR(__xludf.DUMMYFUNCTION("AVERAGE(QUERY(SORT(GOOGLEFINANCE(A74,""price"",TODAY()-500,TODAY()),1,0),""select Col2 limit 200""))"),2434.4955000000004)</f>
        <v>2434.4955</v>
      </c>
      <c r="F74" s="46" t="str">
        <f t="shared" si="1"/>
        <v>In Bear Run</v>
      </c>
      <c r="G74" s="48">
        <f t="shared" si="2"/>
        <v>-4.703048332</v>
      </c>
    </row>
    <row r="75">
      <c r="A75" s="52" t="s">
        <v>92</v>
      </c>
      <c r="B75" s="53">
        <f>IFERROR(__xludf.DUMMYFUNCTION("GOOGLEFINANCE(A75,""price"")"),2124.0)</f>
        <v>2124</v>
      </c>
      <c r="C75" s="54">
        <f>IFERROR(__xludf.DUMMYFUNCTION("AVERAGE(QUERY(SORT(GOOGLEFINANCE(A75,""price"",TODAY()-150,TODAY()),1,0),""select Col2 limit 50""))"),2172.7419999999997)</f>
        <v>2172.742</v>
      </c>
      <c r="D75" s="54">
        <f>IFERROR(__xludf.DUMMYFUNCTION("AVERAGE(QUERY(SORT(GOOGLEFINANCE(A75,""price"",TODAY()-300,TODAY()),1,0),""select Col2 limit 100""))"),2268.542699999999)</f>
        <v>2268.5427</v>
      </c>
      <c r="E75" s="54">
        <f>IFERROR(__xludf.DUMMYFUNCTION("AVERAGE(QUERY(SORT(GOOGLEFINANCE(A75,""price"",TODAY()-500,TODAY()),1,0),""select Col2 limit 200""))"),2334.6789)</f>
        <v>2334.6789</v>
      </c>
      <c r="F75" s="46" t="str">
        <f t="shared" si="1"/>
        <v>In Bear Run</v>
      </c>
      <c r="G75" s="48">
        <f t="shared" si="2"/>
        <v>-9.023891894</v>
      </c>
    </row>
    <row r="76">
      <c r="A76" s="52" t="s">
        <v>93</v>
      </c>
      <c r="B76" s="53">
        <f>IFERROR(__xludf.DUMMYFUNCTION("GOOGLEFINANCE(A76,""price"")"),1374.8)</f>
        <v>1374.8</v>
      </c>
      <c r="C76" s="54">
        <f>IFERROR(__xludf.DUMMYFUNCTION("AVERAGE(QUERY(SORT(GOOGLEFINANCE(A76,""price"",TODAY()-150,TODAY()),1,0),""select Col2 limit 50""))"),1384.4820000000004)</f>
        <v>1384.482</v>
      </c>
      <c r="D76" s="54">
        <f>IFERROR(__xludf.DUMMYFUNCTION("AVERAGE(QUERY(SORT(GOOGLEFINANCE(A76,""price"",TODAY()-300,TODAY()),1,0),""select Col2 limit 100""))"),1378.879)</f>
        <v>1378.879</v>
      </c>
      <c r="E76" s="54">
        <f>IFERROR(__xludf.DUMMYFUNCTION("AVERAGE(QUERY(SORT(GOOGLEFINANCE(A76,""price"",TODAY()-500,TODAY()),1,0),""select Col2 limit 200""))"),1403.8425)</f>
        <v>1403.8425</v>
      </c>
      <c r="F76" s="46" t="str">
        <f t="shared" si="1"/>
        <v>Unconfirmed</v>
      </c>
      <c r="G76" s="48">
        <f t="shared" si="2"/>
        <v>-2.068786206</v>
      </c>
    </row>
    <row r="77">
      <c r="A77" s="52" t="s">
        <v>94</v>
      </c>
      <c r="B77" s="53">
        <f>IFERROR(__xludf.DUMMYFUNCTION("GOOGLEFINANCE(A77,""price"")"),905.4)</f>
        <v>905.4</v>
      </c>
      <c r="C77" s="54">
        <f>IFERROR(__xludf.DUMMYFUNCTION("AVERAGE(QUERY(SORT(GOOGLEFINANCE(A77,""price"",TODAY()-150,TODAY()),1,0),""select Col2 limit 50""))"),904.0170000000002)</f>
        <v>904.017</v>
      </c>
      <c r="D77" s="54">
        <f>IFERROR(__xludf.DUMMYFUNCTION("AVERAGE(QUERY(SORT(GOOGLEFINANCE(A77,""price"",TODAY()-300,TODAY()),1,0),""select Col2 limit 100""))"),930.1869999999996)</f>
        <v>930.187</v>
      </c>
      <c r="E77" s="54">
        <f>IFERROR(__xludf.DUMMYFUNCTION("AVERAGE(QUERY(SORT(GOOGLEFINANCE(A77,""price"",TODAY()-500,TODAY()),1,0),""select Col2 limit 200""))"),953.1720000000001)</f>
        <v>953.172</v>
      </c>
      <c r="F77" s="46" t="str">
        <f t="shared" si="1"/>
        <v>Unconfirmed</v>
      </c>
      <c r="G77" s="48">
        <f t="shared" si="2"/>
        <v>-5.011897118</v>
      </c>
    </row>
    <row r="78">
      <c r="A78" s="52" t="s">
        <v>95</v>
      </c>
      <c r="B78" s="53">
        <f>IFERROR(__xludf.DUMMYFUNCTION("GOOGLEFINANCE(A78,""price"")"),11250.0)</f>
        <v>11250</v>
      </c>
      <c r="C78" s="54">
        <f>IFERROR(__xludf.DUMMYFUNCTION("AVERAGE(QUERY(SORT(GOOGLEFINANCE(A78,""price"",TODAY()-150,TODAY()),1,0),""select Col2 limit 50""))"),12165.46)</f>
        <v>12165.46</v>
      </c>
      <c r="D78" s="54">
        <f>IFERROR(__xludf.DUMMYFUNCTION("AVERAGE(QUERY(SORT(GOOGLEFINANCE(A78,""price"",TODAY()-300,TODAY()),1,0),""select Col2 limit 100""))"),12699.67)</f>
        <v>12699.67</v>
      </c>
      <c r="E78" s="54">
        <f>IFERROR(__xludf.DUMMYFUNCTION("AVERAGE(QUERY(SORT(GOOGLEFINANCE(A78,""price"",TODAY()-500,TODAY()),1,0),""select Col2 limit 200""))"),13097.74)</f>
        <v>13097.74</v>
      </c>
      <c r="F78" s="46" t="str">
        <f t="shared" si="1"/>
        <v>Unconfirmed</v>
      </c>
      <c r="G78" s="48">
        <f t="shared" si="2"/>
        <v>-14.10731928</v>
      </c>
    </row>
    <row r="79">
      <c r="A79" s="52" t="s">
        <v>96</v>
      </c>
      <c r="B79" s="53">
        <f>IFERROR(__xludf.DUMMYFUNCTION("GOOGLEFINANCE(A79,""price"")"),495.0)</f>
        <v>495</v>
      </c>
      <c r="C79" s="54">
        <f>IFERROR(__xludf.DUMMYFUNCTION("AVERAGE(QUERY(SORT(GOOGLEFINANCE(A79,""price"",TODAY()-150,TODAY()),1,0),""select Col2 limit 50""))"),544.591)</f>
        <v>544.591</v>
      </c>
      <c r="D79" s="54">
        <f>IFERROR(__xludf.DUMMYFUNCTION("AVERAGE(QUERY(SORT(GOOGLEFINANCE(A79,""price"",TODAY()-300,TODAY()),1,0),""select Col2 limit 100""))"),578.3360000000002)</f>
        <v>578.336</v>
      </c>
      <c r="E79" s="54">
        <f>IFERROR(__xludf.DUMMYFUNCTION("AVERAGE(QUERY(SORT(GOOGLEFINANCE(A79,""price"",TODAY()-500,TODAY()),1,0),""select Col2 limit 200""))"),609.8425000000004)</f>
        <v>609.8425</v>
      </c>
      <c r="F79" s="46" t="str">
        <f t="shared" si="1"/>
        <v>Unconfirmed</v>
      </c>
      <c r="G79" s="48">
        <f t="shared" si="2"/>
        <v>-18.83150158</v>
      </c>
    </row>
    <row r="80">
      <c r="A80" s="52" t="s">
        <v>97</v>
      </c>
      <c r="B80" s="53">
        <f>IFERROR(__xludf.DUMMYFUNCTION("GOOGLEFINANCE(A80,""price"")"),1009.8)</f>
        <v>1009.8</v>
      </c>
      <c r="C80" s="54">
        <f>IFERROR(__xludf.DUMMYFUNCTION("AVERAGE(QUERY(SORT(GOOGLEFINANCE(A80,""price"",TODAY()-150,TODAY()),1,0),""select Col2 limit 50""))"),1241.1780000000003)</f>
        <v>1241.178</v>
      </c>
      <c r="D80" s="54">
        <f>IFERROR(__xludf.DUMMYFUNCTION("AVERAGE(QUERY(SORT(GOOGLEFINANCE(A80,""price"",TODAY()-300,TODAY()),1,0),""select Col2 limit 100""))"),1297.3350000000003)</f>
        <v>1297.335</v>
      </c>
      <c r="E80" s="54">
        <f>IFERROR(__xludf.DUMMYFUNCTION("AVERAGE(QUERY(SORT(GOOGLEFINANCE(A80,""price"",TODAY()-500,TODAY()),1,0),""select Col2 limit 200""))"),1355.4499999999998)</f>
        <v>1355.45</v>
      </c>
      <c r="F80" s="46" t="str">
        <f t="shared" si="1"/>
        <v>Unconfirmed</v>
      </c>
      <c r="G80" s="48">
        <f t="shared" si="2"/>
        <v>-25.50075621</v>
      </c>
    </row>
    <row r="81">
      <c r="A81" s="52" t="s">
        <v>98</v>
      </c>
      <c r="B81" s="53">
        <f>IFERROR(__xludf.DUMMYFUNCTION("GOOGLEFINANCE(A81,""price"")"),651.05)</f>
        <v>651.05</v>
      </c>
      <c r="C81" s="54">
        <f>IFERROR(__xludf.DUMMYFUNCTION("AVERAGE(QUERY(SORT(GOOGLEFINANCE(A81,""price"",TODAY()-150,TODAY()),1,0),""select Col2 limit 50""))"),694.3529999999997)</f>
        <v>694.353</v>
      </c>
      <c r="D81" s="54">
        <f>IFERROR(__xludf.DUMMYFUNCTION("AVERAGE(QUERY(SORT(GOOGLEFINANCE(A81,""price"",TODAY()-300,TODAY()),1,0),""select Col2 limit 100""))"),711.7405)</f>
        <v>711.7405</v>
      </c>
      <c r="E81" s="54">
        <f>IFERROR(__xludf.DUMMYFUNCTION("AVERAGE(QUERY(SORT(GOOGLEFINANCE(A81,""price"",TODAY()-500,TODAY()),1,0),""select Col2 limit 200""))"),735.832)</f>
        <v>735.832</v>
      </c>
      <c r="F81" s="46" t="str">
        <f t="shared" si="1"/>
        <v>Unconfirmed</v>
      </c>
      <c r="G81" s="48">
        <f t="shared" si="2"/>
        <v>-11.52192348</v>
      </c>
    </row>
    <row r="82">
      <c r="A82" s="52" t="s">
        <v>99</v>
      </c>
      <c r="B82" s="53">
        <f>IFERROR(__xludf.DUMMYFUNCTION("GOOGLEFINANCE(A82,""price"")"),396.65)</f>
        <v>396.65</v>
      </c>
      <c r="C82" s="54">
        <f>IFERROR(__xludf.DUMMYFUNCTION("AVERAGE(QUERY(SORT(GOOGLEFINANCE(A82,""price"",TODAY()-150,TODAY()),1,0),""select Col2 limit 50""))"),412.3520000000001)</f>
        <v>412.352</v>
      </c>
      <c r="D82" s="54">
        <f>IFERROR(__xludf.DUMMYFUNCTION("AVERAGE(QUERY(SORT(GOOGLEFINANCE(A82,""price"",TODAY()-300,TODAY()),1,0),""select Col2 limit 100""))"),410.01900000000023)</f>
        <v>410.019</v>
      </c>
      <c r="E82" s="54">
        <f>IFERROR(__xludf.DUMMYFUNCTION("AVERAGE(QUERY(SORT(GOOGLEFINANCE(A82,""price"",TODAY()-500,TODAY()),1,0),""select Col2 limit 200""))"),431.08574999999985)</f>
        <v>431.08575</v>
      </c>
      <c r="F82" s="46" t="str">
        <f t="shared" si="1"/>
        <v>Unconfirmed</v>
      </c>
      <c r="G82" s="48">
        <f t="shared" si="2"/>
        <v>-7.98814389</v>
      </c>
    </row>
    <row r="83" ht="18.75" customHeight="1">
      <c r="A83" s="52" t="s">
        <v>100</v>
      </c>
      <c r="B83" s="53">
        <f>IFERROR(__xludf.DUMMYFUNCTION("GOOGLEFINANCE(A83,""price"")"),451.0)</f>
        <v>451</v>
      </c>
      <c r="C83" s="54">
        <f>IFERROR(__xludf.DUMMYFUNCTION("AVERAGE(QUERY(SORT(GOOGLEFINANCE(A83,""price"",TODAY()-150,TODAY()),1,0),""select Col2 limit 50""))"),495.9929999999999)</f>
        <v>495.993</v>
      </c>
      <c r="D83" s="54">
        <f>IFERROR(__xludf.DUMMYFUNCTION("AVERAGE(QUERY(SORT(GOOGLEFINANCE(A83,""price"",TODAY()-300,TODAY()),1,0),""select Col2 limit 100""))"),523.3554999999998)</f>
        <v>523.3555</v>
      </c>
      <c r="E83" s="54">
        <f>IFERROR(__xludf.DUMMYFUNCTION("AVERAGE(QUERY(SORT(GOOGLEFINANCE(A83,""price"",TODAY()-500,TODAY()),1,0),""select Col2 limit 200""))"),539.5892499999998)</f>
        <v>539.58925</v>
      </c>
      <c r="F83" s="46" t="str">
        <f t="shared" si="1"/>
        <v>Unconfirmed</v>
      </c>
      <c r="G83" s="48">
        <f t="shared" si="2"/>
        <v>-16.41790492</v>
      </c>
    </row>
    <row r="84">
      <c r="A84" s="52" t="s">
        <v>101</v>
      </c>
      <c r="B84" s="53">
        <f>IFERROR(__xludf.DUMMYFUNCTION("GOOGLEFINANCE(A84,""price"")"),1550.1)</f>
        <v>1550.1</v>
      </c>
      <c r="C84" s="54">
        <f>IFERROR(__xludf.DUMMYFUNCTION("AVERAGE(QUERY(SORT(GOOGLEFINANCE(A84,""price"",TODAY()-150,TODAY()),1,0),""select Col2 limit 50""))"),1391.19)</f>
        <v>1391.19</v>
      </c>
      <c r="D84" s="54">
        <f>IFERROR(__xludf.DUMMYFUNCTION("AVERAGE(QUERY(SORT(GOOGLEFINANCE(A84,""price"",TODAY()-300,TODAY()),1,0),""select Col2 limit 100""))"),1343.878)</f>
        <v>1343.878</v>
      </c>
      <c r="E84" s="54">
        <f>IFERROR(__xludf.DUMMYFUNCTION("AVERAGE(QUERY(SORT(GOOGLEFINANCE(A84,""price"",TODAY()-500,TODAY()),1,0),""select Col2 limit 200""))"),1346.7569999999996)</f>
        <v>1346.757</v>
      </c>
      <c r="F84" s="46" t="str">
        <f t="shared" si="1"/>
        <v>Unconfirmed</v>
      </c>
      <c r="G84" s="48">
        <f t="shared" si="2"/>
        <v>15.09871491</v>
      </c>
    </row>
    <row r="85">
      <c r="A85" s="52" t="s">
        <v>102</v>
      </c>
      <c r="B85" s="53">
        <f>IFERROR(__xludf.DUMMYFUNCTION("GOOGLEFINANCE(A85,""price"")"),1166.9)</f>
        <v>1166.9</v>
      </c>
      <c r="C85" s="54">
        <f>IFERROR(__xludf.DUMMYFUNCTION("AVERAGE(QUERY(SORT(GOOGLEFINANCE(A85,""price"",TODAY()-150,TODAY()),1,0),""select Col2 limit 50""))"),1579.542)</f>
        <v>1579.542</v>
      </c>
      <c r="D85" s="54">
        <f>IFERROR(__xludf.DUMMYFUNCTION("AVERAGE(QUERY(SORT(GOOGLEFINANCE(A85,""price"",TODAY()-300,TODAY()),1,0),""select Col2 limit 100""))"),1695.924)</f>
        <v>1695.924</v>
      </c>
      <c r="E85" s="54">
        <f>IFERROR(__xludf.DUMMYFUNCTION("AVERAGE(QUERY(SORT(GOOGLEFINANCE(A85,""price"",TODAY()-500,TODAY()),1,0),""select Col2 limit 200""))"),1724.4089999999994)</f>
        <v>1724.409</v>
      </c>
      <c r="F85" s="46" t="str">
        <f t="shared" si="1"/>
        <v>Unconfirmed</v>
      </c>
      <c r="G85" s="48">
        <f t="shared" si="2"/>
        <v>-32.33043901</v>
      </c>
    </row>
    <row r="86">
      <c r="A86" s="52" t="s">
        <v>103</v>
      </c>
      <c r="B86" s="53">
        <f>IFERROR(__xludf.DUMMYFUNCTION("GOOGLEFINANCE(A86,""price"")"),840.0)</f>
        <v>840</v>
      </c>
      <c r="C86" s="54">
        <f>IFERROR(__xludf.DUMMYFUNCTION("AVERAGE(QUERY(SORT(GOOGLEFINANCE(A86,""price"",TODAY()-150,TODAY()),1,0),""select Col2 limit 50""))"),848.2220000000001)</f>
        <v>848.222</v>
      </c>
      <c r="D86" s="54">
        <f>IFERROR(__xludf.DUMMYFUNCTION("AVERAGE(QUERY(SORT(GOOGLEFINANCE(A86,""price"",TODAY()-300,TODAY()),1,0),""select Col2 limit 100""))"),869.9975)</f>
        <v>869.9975</v>
      </c>
      <c r="E86" s="54">
        <f>IFERROR(__xludf.DUMMYFUNCTION("AVERAGE(QUERY(SORT(GOOGLEFINANCE(A86,""price"",TODAY()-500,TODAY()),1,0),""select Col2 limit 200""))"),889.3105000000002)</f>
        <v>889.3105</v>
      </c>
      <c r="F86" s="46" t="str">
        <f t="shared" si="1"/>
        <v>In Bear Run</v>
      </c>
      <c r="G86" s="48">
        <f t="shared" si="2"/>
        <v>-5.544801281</v>
      </c>
    </row>
    <row r="87">
      <c r="A87" s="52" t="s">
        <v>104</v>
      </c>
      <c r="B87" s="53">
        <f>IFERROR(__xludf.DUMMYFUNCTION("GOOGLEFINANCE(A87,""price"")"),373.05)</f>
        <v>373.05</v>
      </c>
      <c r="C87" s="54">
        <f>IFERROR(__xludf.DUMMYFUNCTION("AVERAGE(QUERY(SORT(GOOGLEFINANCE(A87,""price"",TODAY()-150,TODAY()),1,0),""select Col2 limit 50""))"),376.686)</f>
        <v>376.686</v>
      </c>
      <c r="D87" s="54">
        <f>IFERROR(__xludf.DUMMYFUNCTION("AVERAGE(QUERY(SORT(GOOGLEFINANCE(A87,""price"",TODAY()-300,TODAY()),1,0),""select Col2 limit 100""))"),379.87499999999994)</f>
        <v>379.875</v>
      </c>
      <c r="E87" s="54">
        <f>IFERROR(__xludf.DUMMYFUNCTION("AVERAGE(QUERY(SORT(GOOGLEFINANCE(A87,""price"",TODAY()-500,TODAY()),1,0),""select Col2 limit 200""))"),382.42150000000004)</f>
        <v>382.4215</v>
      </c>
      <c r="F87" s="46" t="str">
        <f t="shared" si="1"/>
        <v>In Bear Run</v>
      </c>
      <c r="G87" s="48">
        <f t="shared" si="2"/>
        <v>-2.450568287</v>
      </c>
    </row>
    <row r="88">
      <c r="A88" s="52" t="s">
        <v>105</v>
      </c>
      <c r="B88" s="53">
        <f>IFERROR(__xludf.DUMMYFUNCTION("GOOGLEFINANCE(A88,""price"")"),750.0)</f>
        <v>750</v>
      </c>
      <c r="C88" s="54">
        <f>IFERROR(__xludf.DUMMYFUNCTION("AVERAGE(QUERY(SORT(GOOGLEFINANCE(A88,""price"",TODAY()-150,TODAY()),1,0),""select Col2 limit 50""))"),810.0009999999997)</f>
        <v>810.001</v>
      </c>
      <c r="D88" s="54">
        <f>IFERROR(__xludf.DUMMYFUNCTION("AVERAGE(QUERY(SORT(GOOGLEFINANCE(A88,""price"",TODAY()-300,TODAY()),1,0),""select Col2 limit 100""))"),849.0669999999996)</f>
        <v>849.067</v>
      </c>
      <c r="E88" s="54">
        <f>IFERROR(__xludf.DUMMYFUNCTION("AVERAGE(QUERY(SORT(GOOGLEFINANCE(A88,""price"",TODAY()-500,TODAY()),1,0),""select Col2 limit 200""))"),867.2990000000002)</f>
        <v>867.299</v>
      </c>
      <c r="F88" s="46" t="str">
        <f t="shared" si="1"/>
        <v>Unconfirmed</v>
      </c>
      <c r="G88" s="48">
        <f t="shared" si="2"/>
        <v>-13.52463222</v>
      </c>
    </row>
    <row r="89">
      <c r="A89" s="52" t="s">
        <v>106</v>
      </c>
      <c r="B89" s="53">
        <f>IFERROR(__xludf.DUMMYFUNCTION("GOOGLEFINANCE(A89,""price"")"),7780.0)</f>
        <v>7780</v>
      </c>
      <c r="C89" s="54">
        <f>IFERROR(__xludf.DUMMYFUNCTION("AVERAGE(QUERY(SORT(GOOGLEFINANCE(A89,""price"",TODAY()-150,TODAY()),1,0),""select Col2 limit 50""))"),7246.07)</f>
        <v>7246.07</v>
      </c>
      <c r="D89" s="54">
        <f>IFERROR(__xludf.DUMMYFUNCTION("AVERAGE(QUERY(SORT(GOOGLEFINANCE(A89,""price"",TODAY()-300,TODAY()),1,0),""select Col2 limit 100""))"),7377.26)</f>
        <v>7377.26</v>
      </c>
      <c r="E89" s="54">
        <f>IFERROR(__xludf.DUMMYFUNCTION("AVERAGE(QUERY(SORT(GOOGLEFINANCE(A89,""price"",TODAY()-500,TODAY()),1,0),""select Col2 limit 200""))"),7378.5925)</f>
        <v>7378.5925</v>
      </c>
      <c r="F89" s="46" t="str">
        <f t="shared" si="1"/>
        <v>Unconfirmed</v>
      </c>
      <c r="G89" s="48">
        <f t="shared" si="2"/>
        <v>5.440163554</v>
      </c>
    </row>
    <row r="90">
      <c r="A90" s="52" t="s">
        <v>107</v>
      </c>
      <c r="B90" s="53">
        <f>IFERROR(__xludf.DUMMYFUNCTION("GOOGLEFINANCE(A90,""price"")"),483.0)</f>
        <v>483</v>
      </c>
      <c r="C90" s="54">
        <f>IFERROR(__xludf.DUMMYFUNCTION("AVERAGE(QUERY(SORT(GOOGLEFINANCE(A90,""price"",TODAY()-150,TODAY()),1,0),""select Col2 limit 50""))"),482.9100000000001)</f>
        <v>482.91</v>
      </c>
      <c r="D90" s="54">
        <f>IFERROR(__xludf.DUMMYFUNCTION("AVERAGE(QUERY(SORT(GOOGLEFINANCE(A90,""price"",TODAY()-300,TODAY()),1,0),""select Col2 limit 100""))"),496.36450000000013)</f>
        <v>496.3645</v>
      </c>
      <c r="E90" s="54">
        <f>IFERROR(__xludf.DUMMYFUNCTION("AVERAGE(QUERY(SORT(GOOGLEFINANCE(A90,""price"",TODAY()-500,TODAY()),1,0),""select Col2 limit 200""))"),507.67075000000034)</f>
        <v>507.67075</v>
      </c>
      <c r="F90" s="46" t="str">
        <f t="shared" si="1"/>
        <v>Unconfirmed</v>
      </c>
      <c r="G90" s="48">
        <f t="shared" si="2"/>
        <v>-4.8595965</v>
      </c>
    </row>
    <row r="91">
      <c r="A91" s="52" t="s">
        <v>108</v>
      </c>
      <c r="B91" s="53">
        <f>IFERROR(__xludf.DUMMYFUNCTION("GOOGLEFINANCE(A91,""price"")"),1899.0)</f>
        <v>1899</v>
      </c>
      <c r="C91" s="54">
        <f>IFERROR(__xludf.DUMMYFUNCTION("AVERAGE(QUERY(SORT(GOOGLEFINANCE(A91,""price"",TODAY()-150,TODAY()),1,0),""select Col2 limit 50""))"),1841.2639999999997)</f>
        <v>1841.264</v>
      </c>
      <c r="D91" s="54">
        <f>IFERROR(__xludf.DUMMYFUNCTION("AVERAGE(QUERY(SORT(GOOGLEFINANCE(A91,""price"",TODAY()-300,TODAY()),1,0),""select Col2 limit 100""))"),1840.504)</f>
        <v>1840.504</v>
      </c>
      <c r="E91" s="54">
        <f>IFERROR(__xludf.DUMMYFUNCTION("AVERAGE(QUERY(SORT(GOOGLEFINANCE(A91,""price"",TODAY()-500,TODAY()),1,0),""select Col2 limit 200""))"),1804.1435000000001)</f>
        <v>1804.1435</v>
      </c>
      <c r="F91" s="46" t="str">
        <f t="shared" si="1"/>
        <v>In Bull Run</v>
      </c>
      <c r="G91" s="48">
        <f t="shared" si="2"/>
        <v>5.257702616</v>
      </c>
    </row>
    <row r="92">
      <c r="A92" s="52" t="s">
        <v>109</v>
      </c>
      <c r="B92" s="53">
        <f>IFERROR(__xludf.DUMMYFUNCTION("GOOGLEFINANCE(A92,""price"")"),368.15)</f>
        <v>368.15</v>
      </c>
      <c r="C92" s="54">
        <f>IFERROR(__xludf.DUMMYFUNCTION("AVERAGE(QUERY(SORT(GOOGLEFINANCE(A92,""price"",TODAY()-150,TODAY()),1,0),""select Col2 limit 50""))"),371.97500000000014)</f>
        <v>371.975</v>
      </c>
      <c r="D92" s="54">
        <f>IFERROR(__xludf.DUMMYFUNCTION("AVERAGE(QUERY(SORT(GOOGLEFINANCE(A92,""price"",TODAY()-300,TODAY()),1,0),""select Col2 limit 100""))"),381.42450000000014)</f>
        <v>381.4245</v>
      </c>
      <c r="E92" s="54">
        <f>IFERROR(__xludf.DUMMYFUNCTION("AVERAGE(QUERY(SORT(GOOGLEFINANCE(A92,""price"",TODAY()-500,TODAY()),1,0),""select Col2 limit 200""))"),388.05650000000037)</f>
        <v>388.0565</v>
      </c>
      <c r="F92" s="46" t="str">
        <f t="shared" si="1"/>
        <v>In Bear Run</v>
      </c>
      <c r="G92" s="48">
        <f t="shared" si="2"/>
        <v>-5.129794244</v>
      </c>
    </row>
    <row r="93">
      <c r="A93" s="52" t="s">
        <v>110</v>
      </c>
      <c r="B93" s="53">
        <f>IFERROR(__xludf.DUMMYFUNCTION("GOOGLEFINANCE(A93,""price"")"),99.73)</f>
        <v>99.73</v>
      </c>
      <c r="C93" s="54">
        <f>IFERROR(__xludf.DUMMYFUNCTION("AVERAGE(QUERY(SORT(GOOGLEFINANCE(A93,""price"",TODAY()-150,TODAY()),1,0),""select Col2 limit 50""))"),117.257)</f>
        <v>117.257</v>
      </c>
      <c r="D93" s="54">
        <f>IFERROR(__xludf.DUMMYFUNCTION("AVERAGE(QUERY(SORT(GOOGLEFINANCE(A93,""price"",TODAY()-300,TODAY()),1,0),""select Col2 limit 100""))"),118.68210000000003)</f>
        <v>118.6821</v>
      </c>
      <c r="E93" s="54">
        <f>IFERROR(__xludf.DUMMYFUNCTION("AVERAGE(QUERY(SORT(GOOGLEFINANCE(A93,""price"",TODAY()-500,TODAY()),1,0),""select Col2 limit 200""))"),125.52695000000013)</f>
        <v>125.52695</v>
      </c>
      <c r="F93" s="46" t="str">
        <f t="shared" si="1"/>
        <v>Unconfirmed</v>
      </c>
      <c r="G93" s="48">
        <f t="shared" si="2"/>
        <v>-20.55092552</v>
      </c>
    </row>
    <row r="94">
      <c r="A94" s="52" t="s">
        <v>111</v>
      </c>
      <c r="B94" s="53">
        <f>IFERROR(__xludf.DUMMYFUNCTION("GOOGLEFINANCE(A94,""price"")"),2642.2)</f>
        <v>2642.2</v>
      </c>
      <c r="C94" s="54">
        <f>IFERROR(__xludf.DUMMYFUNCTION("AVERAGE(QUERY(SORT(GOOGLEFINANCE(A94,""price"",TODAY()-150,TODAY()),1,0),""select Col2 limit 50""))"),2852.7859999999996)</f>
        <v>2852.786</v>
      </c>
      <c r="D94" s="54">
        <f>IFERROR(__xludf.DUMMYFUNCTION("AVERAGE(QUERY(SORT(GOOGLEFINANCE(A94,""price"",TODAY()-300,TODAY()),1,0),""select Col2 limit 100""))"),3062.6230000000005)</f>
        <v>3062.623</v>
      </c>
      <c r="E94" s="54">
        <f>IFERROR(__xludf.DUMMYFUNCTION("AVERAGE(QUERY(SORT(GOOGLEFINANCE(A94,""price"",TODAY()-500,TODAY()),1,0),""select Col2 limit 200""))"),3088.502)</f>
        <v>3088.502</v>
      </c>
      <c r="F94" s="46" t="str">
        <f t="shared" si="1"/>
        <v>Unconfirmed</v>
      </c>
      <c r="G94" s="48">
        <f t="shared" si="2"/>
        <v>-14.45043584</v>
      </c>
    </row>
    <row r="95">
      <c r="A95" s="52" t="s">
        <v>112</v>
      </c>
      <c r="B95" s="53">
        <f>IFERROR(__xludf.DUMMYFUNCTION("GOOGLEFINANCE(A95,""price"")"),412.95)</f>
        <v>412.95</v>
      </c>
      <c r="C95" s="54">
        <f>IFERROR(__xludf.DUMMYFUNCTION("AVERAGE(QUERY(SORT(GOOGLEFINANCE(A95,""price"",TODAY()-150,TODAY()),1,0),""select Col2 limit 50""))"),543.1260000000002)</f>
        <v>543.126</v>
      </c>
      <c r="D95" s="54">
        <f>IFERROR(__xludf.DUMMYFUNCTION("AVERAGE(QUERY(SORT(GOOGLEFINANCE(A95,""price"",TODAY()-300,TODAY()),1,0),""select Col2 limit 100""))"),592.9935000000002)</f>
        <v>592.9935</v>
      </c>
      <c r="E95" s="54">
        <f>IFERROR(__xludf.DUMMYFUNCTION("AVERAGE(QUERY(SORT(GOOGLEFINANCE(A95,""price"",TODAY()-500,TODAY()),1,0),""select Col2 limit 200""))"),623.0374999999999)</f>
        <v>623.0375</v>
      </c>
      <c r="F95" s="46" t="str">
        <f t="shared" si="1"/>
        <v>Unconfirmed</v>
      </c>
      <c r="G95" s="48">
        <f t="shared" si="2"/>
        <v>-33.71988042</v>
      </c>
    </row>
    <row r="96">
      <c r="A96" s="52" t="s">
        <v>113</v>
      </c>
      <c r="B96" s="53">
        <f>IFERROR(__xludf.DUMMYFUNCTION("GOOGLEFINANCE(A96,""price"")"),718.85)</f>
        <v>718.85</v>
      </c>
      <c r="C96" s="54">
        <f>IFERROR(__xludf.DUMMYFUNCTION("AVERAGE(QUERY(SORT(GOOGLEFINANCE(A96,""price"",TODAY()-150,TODAY()),1,0),""select Col2 limit 50""))"),803.8530000000001)</f>
        <v>803.853</v>
      </c>
      <c r="D96" s="54">
        <f>IFERROR(__xludf.DUMMYFUNCTION("AVERAGE(QUERY(SORT(GOOGLEFINANCE(A96,""price"",TODAY()-300,TODAY()),1,0),""select Col2 limit 100""))"),881.8049999999998)</f>
        <v>881.805</v>
      </c>
      <c r="E96" s="54">
        <f>IFERROR(__xludf.DUMMYFUNCTION("AVERAGE(QUERY(SORT(GOOGLEFINANCE(A96,""price"",TODAY()-500,TODAY()),1,0),""select Col2 limit 200""))"),883.972)</f>
        <v>883.972</v>
      </c>
      <c r="F96" s="46" t="str">
        <f t="shared" si="1"/>
        <v>Unconfirmed</v>
      </c>
      <c r="G96" s="48">
        <f t="shared" si="2"/>
        <v>-18.67955094</v>
      </c>
    </row>
    <row r="97">
      <c r="A97" s="52" t="s">
        <v>114</v>
      </c>
      <c r="B97" s="53">
        <f>IFERROR(__xludf.DUMMYFUNCTION("GOOGLEFINANCE(A97,""price"")"),281.45)</f>
        <v>281.45</v>
      </c>
      <c r="C97" s="54">
        <f>IFERROR(__xludf.DUMMYFUNCTION("AVERAGE(QUERY(SORT(GOOGLEFINANCE(A97,""price"",TODAY()-150,TODAY()),1,0),""select Col2 limit 50""))"),253.68639999999996)</f>
        <v>253.6864</v>
      </c>
      <c r="D97" s="54">
        <f>IFERROR(__xludf.DUMMYFUNCTION("AVERAGE(QUERY(SORT(GOOGLEFINANCE(A97,""price"",TODAY()-300,TODAY()),1,0),""select Col2 limit 100""))"),250.5468999999999)</f>
        <v>250.5469</v>
      </c>
      <c r="E97" s="54">
        <f>IFERROR(__xludf.DUMMYFUNCTION("AVERAGE(QUERY(SORT(GOOGLEFINANCE(A97,""price"",TODAY()-500,TODAY()),1,0),""select Col2 limit 200""))"),245.77289999999996)</f>
        <v>245.7729</v>
      </c>
      <c r="F97" s="46" t="str">
        <f t="shared" si="1"/>
        <v>Unconfirmed</v>
      </c>
      <c r="G97" s="48">
        <f t="shared" si="2"/>
        <v>14.51628719</v>
      </c>
    </row>
    <row r="98">
      <c r="A98" s="52" t="s">
        <v>115</v>
      </c>
      <c r="B98" s="53">
        <f>IFERROR(__xludf.DUMMYFUNCTION("GOOGLEFINANCE(A98,""price"")"),975.0)</f>
        <v>975</v>
      </c>
      <c r="C98" s="54">
        <f>IFERROR(__xludf.DUMMYFUNCTION("AVERAGE(QUERY(SORT(GOOGLEFINANCE(A98,""price"",TODAY()-150,TODAY()),1,0),""select Col2 limit 50""))"),978.6960000000003)</f>
        <v>978.696</v>
      </c>
      <c r="D98" s="54">
        <f>IFERROR(__xludf.DUMMYFUNCTION("AVERAGE(QUERY(SORT(GOOGLEFINANCE(A98,""price"",TODAY()-300,TODAY()),1,0),""select Col2 limit 100""))"),1006.5040000000002)</f>
        <v>1006.504</v>
      </c>
      <c r="E98" s="54">
        <f>IFERROR(__xludf.DUMMYFUNCTION("AVERAGE(QUERY(SORT(GOOGLEFINANCE(A98,""price"",TODAY()-500,TODAY()),1,0),""select Col2 limit 200""))"),967.9517500000001)</f>
        <v>967.95175</v>
      </c>
      <c r="F98" s="46" t="str">
        <f t="shared" si="1"/>
        <v>Unconfirmed</v>
      </c>
      <c r="G98" s="48">
        <f t="shared" si="2"/>
        <v>0.7281612952</v>
      </c>
    </row>
    <row r="99">
      <c r="A99" s="52" t="s">
        <v>116</v>
      </c>
      <c r="B99" s="53">
        <f>IFERROR(__xludf.DUMMYFUNCTION("GOOGLEFINANCE(A99,""price"")"),642.0)</f>
        <v>642</v>
      </c>
      <c r="C99" s="54">
        <f>IFERROR(__xludf.DUMMYFUNCTION("AVERAGE(QUERY(SORT(GOOGLEFINANCE(A99,""price"",TODAY()-150,TODAY()),1,0),""select Col2 limit 50""))"),662.316)</f>
        <v>662.316</v>
      </c>
      <c r="D99" s="54">
        <f>IFERROR(__xludf.DUMMYFUNCTION("AVERAGE(QUERY(SORT(GOOGLEFINANCE(A99,""price"",TODAY()-300,TODAY()),1,0),""select Col2 limit 100""))"),732.5925)</f>
        <v>732.5925</v>
      </c>
      <c r="E99" s="54">
        <f>IFERROR(__xludf.DUMMYFUNCTION("AVERAGE(QUERY(SORT(GOOGLEFINANCE(A99,""price"",TODAY()-500,TODAY()),1,0),""select Col2 limit 200""))"),713.396)</f>
        <v>713.396</v>
      </c>
      <c r="F99" s="46" t="str">
        <f t="shared" si="1"/>
        <v>Unconfirmed</v>
      </c>
      <c r="G99" s="48">
        <f t="shared" si="2"/>
        <v>-10.00790585</v>
      </c>
    </row>
    <row r="100">
      <c r="A100" s="52" t="s">
        <v>117</v>
      </c>
      <c r="B100" s="53">
        <f>IFERROR(__xludf.DUMMYFUNCTION("GOOGLEFINANCE(A100,""price"")"),1469.0)</f>
        <v>1469</v>
      </c>
      <c r="C100" s="54">
        <f>IFERROR(__xludf.DUMMYFUNCTION("AVERAGE(QUERY(SORT(GOOGLEFINANCE(A100,""price"",TODAY()-150,TODAY()),1,0),""select Col2 limit 50""))"),1471.4540000000009)</f>
        <v>1471.454</v>
      </c>
      <c r="D100" s="54">
        <f>IFERROR(__xludf.DUMMYFUNCTION("AVERAGE(QUERY(SORT(GOOGLEFINANCE(A100,""price"",TODAY()-300,TODAY()),1,0),""select Col2 limit 100""))"),1476.680000000001)</f>
        <v>1476.68</v>
      </c>
      <c r="E100" s="54">
        <f>IFERROR(__xludf.DUMMYFUNCTION("AVERAGE(QUERY(SORT(GOOGLEFINANCE(A100,""price"",TODAY()-500,TODAY()),1,0),""select Col2 limit 200""))"),1495.5754999999997)</f>
        <v>1495.5755</v>
      </c>
      <c r="F100" s="46" t="str">
        <f t="shared" si="1"/>
        <v>In Bear Run</v>
      </c>
      <c r="G100" s="48">
        <f t="shared" si="2"/>
        <v>-1.776941385</v>
      </c>
    </row>
    <row r="101">
      <c r="A101" s="52" t="s">
        <v>118</v>
      </c>
      <c r="B101" s="53">
        <f>IFERROR(__xludf.DUMMYFUNCTION("GOOGLEFINANCE(A101,""price"")"),310.15)</f>
        <v>310.15</v>
      </c>
      <c r="C101" s="54">
        <f>IFERROR(__xludf.DUMMYFUNCTION("AVERAGE(QUERY(SORT(GOOGLEFINANCE(A101,""price"",TODAY()-150,TODAY()),1,0),""select Col2 limit 50""))"),291.399)</f>
        <v>291.399</v>
      </c>
      <c r="D101" s="54">
        <f>IFERROR(__xludf.DUMMYFUNCTION("AVERAGE(QUERY(SORT(GOOGLEFINANCE(A101,""price"",TODAY()-300,TODAY()),1,0),""select Col2 limit 100""))"),283.86099999999993)</f>
        <v>283.861</v>
      </c>
      <c r="E101" s="54">
        <f>IFERROR(__xludf.DUMMYFUNCTION("AVERAGE(QUERY(SORT(GOOGLEFINANCE(A101,""price"",TODAY()-500,TODAY()),1,0),""select Col2 limit 200""))"),288.2315)</f>
        <v>288.2315</v>
      </c>
      <c r="F101" s="46" t="str">
        <f t="shared" si="1"/>
        <v>Unconfirmed</v>
      </c>
      <c r="G101" s="48">
        <f t="shared" si="2"/>
        <v>7.604477651</v>
      </c>
    </row>
    <row r="102">
      <c r="A102" s="52" t="s">
        <v>119</v>
      </c>
      <c r="B102" s="53">
        <f>IFERROR(__xludf.DUMMYFUNCTION("GOOGLEFINANCE(A102,""price"")"),1351.0)</f>
        <v>1351</v>
      </c>
      <c r="C102" s="54">
        <f>IFERROR(__xludf.DUMMYFUNCTION("AVERAGE(QUERY(SORT(GOOGLEFINANCE(A102,""price"",TODAY()-150,TODAY()),1,0),""select Col2 limit 50""))"),1398.856)</f>
        <v>1398.856</v>
      </c>
      <c r="D102" s="54">
        <f>IFERROR(__xludf.DUMMYFUNCTION("AVERAGE(QUERY(SORT(GOOGLEFINANCE(A102,""price"",TODAY()-300,TODAY()),1,0),""select Col2 limit 100""))"),1465.9210000000007)</f>
        <v>1465.921</v>
      </c>
      <c r="E102" s="54">
        <f>IFERROR(__xludf.DUMMYFUNCTION("AVERAGE(QUERY(SORT(GOOGLEFINANCE(A102,""price"",TODAY()-500,TODAY()),1,0),""select Col2 limit 200""))"),1492.0455000000004)</f>
        <v>1492.0455</v>
      </c>
      <c r="F102" s="46" t="str">
        <f t="shared" si="1"/>
        <v>In Bear Run</v>
      </c>
      <c r="G102" s="48">
        <f t="shared" si="2"/>
        <v>-9.453163459</v>
      </c>
    </row>
    <row r="103">
      <c r="A103" s="52" t="s">
        <v>120</v>
      </c>
      <c r="B103" s="53">
        <f>IFERROR(__xludf.DUMMYFUNCTION("GOOGLEFINANCE(A103,""price"")"),1371.9)</f>
        <v>1371.9</v>
      </c>
      <c r="C103" s="54">
        <f>IFERROR(__xludf.DUMMYFUNCTION("AVERAGE(QUERY(SORT(GOOGLEFINANCE(A103,""price"",TODAY()-150,TODAY()),1,0),""select Col2 limit 50""))"),1379.604)</f>
        <v>1379.604</v>
      </c>
      <c r="D103" s="54">
        <f>IFERROR(__xludf.DUMMYFUNCTION("AVERAGE(QUERY(SORT(GOOGLEFINANCE(A103,""price"",TODAY()-300,TODAY()),1,0),""select Col2 limit 100""))"),1392.6209999999999)</f>
        <v>1392.621</v>
      </c>
      <c r="E103" s="54">
        <f>IFERROR(__xludf.DUMMYFUNCTION("AVERAGE(QUERY(SORT(GOOGLEFINANCE(A103,""price"",TODAY()-500,TODAY()),1,0),""select Col2 limit 200""))"),1393.5050000000003)</f>
        <v>1393.505</v>
      </c>
      <c r="F103" s="46" t="str">
        <f t="shared" si="1"/>
        <v>In Bear Run</v>
      </c>
      <c r="G103" s="48">
        <f t="shared" si="2"/>
        <v>-1.550407067</v>
      </c>
    </row>
    <row r="104">
      <c r="A104" s="52" t="s">
        <v>121</v>
      </c>
      <c r="B104" s="53">
        <f>IFERROR(__xludf.DUMMYFUNCTION("GOOGLEFINANCE(A104,""price"")"),3321.9)</f>
        <v>3321.9</v>
      </c>
      <c r="C104" s="54">
        <f>IFERROR(__xludf.DUMMYFUNCTION("AVERAGE(QUERY(SORT(GOOGLEFINANCE(A104,""price"",TODAY()-150,TODAY()),1,0),""select Col2 limit 50""))"),3110.5840000000003)</f>
        <v>3110.584</v>
      </c>
      <c r="D104" s="54">
        <f>IFERROR(__xludf.DUMMYFUNCTION("AVERAGE(QUERY(SORT(GOOGLEFINANCE(A104,""price"",TODAY()-300,TODAY()),1,0),""select Col2 limit 100""))"),3140.298000000001)</f>
        <v>3140.298</v>
      </c>
      <c r="E104" s="54">
        <f>IFERROR(__xludf.DUMMYFUNCTION("AVERAGE(QUERY(SORT(GOOGLEFINANCE(A104,""price"",TODAY()-500,TODAY()),1,0),""select Col2 limit 200""))"),3164.8750000000005)</f>
        <v>3164.875</v>
      </c>
      <c r="F104" s="46" t="str">
        <f t="shared" si="1"/>
        <v>Unconfirmed</v>
      </c>
      <c r="G104" s="48">
        <f t="shared" si="2"/>
        <v>4.96149137</v>
      </c>
    </row>
    <row r="105">
      <c r="A105" s="52" t="s">
        <v>122</v>
      </c>
      <c r="B105" s="53">
        <f>IFERROR(__xludf.DUMMYFUNCTION("GOOGLEFINANCE(A105,""price"")"),2611.7)</f>
        <v>2611.7</v>
      </c>
      <c r="C105" s="54">
        <f>IFERROR(__xludf.DUMMYFUNCTION("AVERAGE(QUERY(SORT(GOOGLEFINANCE(A105,""price"",TODAY()-150,TODAY()),1,0),""select Col2 limit 50""))"),3045.2139999999995)</f>
        <v>3045.214</v>
      </c>
      <c r="D105" s="54">
        <f>IFERROR(__xludf.DUMMYFUNCTION("AVERAGE(QUERY(SORT(GOOGLEFINANCE(A105,""price"",TODAY()-300,TODAY()),1,0),""select Col2 limit 100""))"),3074.199000000002)</f>
        <v>3074.199</v>
      </c>
      <c r="E105" s="54">
        <f>IFERROR(__xludf.DUMMYFUNCTION("AVERAGE(QUERY(SORT(GOOGLEFINANCE(A105,""price"",TODAY()-500,TODAY()),1,0),""select Col2 limit 200""))"),3156.788500000002)</f>
        <v>3156.7885</v>
      </c>
      <c r="F105" s="46" t="str">
        <f t="shared" si="1"/>
        <v>Unconfirmed</v>
      </c>
      <c r="G105" s="48">
        <f t="shared" si="2"/>
        <v>-17.26718467</v>
      </c>
    </row>
    <row r="106">
      <c r="A106" s="52" t="s">
        <v>123</v>
      </c>
      <c r="B106" s="53">
        <f>IFERROR(__xludf.DUMMYFUNCTION("GOOGLEFINANCE(A106,""price"")"),1506.0)</f>
        <v>1506</v>
      </c>
      <c r="C106" s="54">
        <f>IFERROR(__xludf.DUMMYFUNCTION("AVERAGE(QUERY(SORT(GOOGLEFINANCE(A106,""price"",TODAY()-150,TODAY()),1,0),""select Col2 limit 50""))"),1588.8519999999999)</f>
        <v>1588.852</v>
      </c>
      <c r="D106" s="54">
        <f>IFERROR(__xludf.DUMMYFUNCTION("AVERAGE(QUERY(SORT(GOOGLEFINANCE(A106,""price"",TODAY()-300,TODAY()),1,0),""select Col2 limit 100""))"),1634.0059999999994)</f>
        <v>1634.006</v>
      </c>
      <c r="E106" s="54">
        <f>IFERROR(__xludf.DUMMYFUNCTION("AVERAGE(QUERY(SORT(GOOGLEFINANCE(A106,""price"",TODAY()-500,TODAY()),1,0),""select Col2 limit 200""))"),1683.8465000000003)</f>
        <v>1683.8465</v>
      </c>
      <c r="F106" s="46" t="str">
        <f t="shared" si="1"/>
        <v>Unconfirmed</v>
      </c>
      <c r="G106" s="48">
        <f t="shared" si="2"/>
        <v>-10.5619188</v>
      </c>
    </row>
    <row r="107">
      <c r="A107" s="52" t="s">
        <v>124</v>
      </c>
      <c r="B107" s="53">
        <f>IFERROR(__xludf.DUMMYFUNCTION("GOOGLEFINANCE(A107,""price"")"),377.0)</f>
        <v>377</v>
      </c>
      <c r="C107" s="54">
        <f>IFERROR(__xludf.DUMMYFUNCTION("AVERAGE(QUERY(SORT(GOOGLEFINANCE(A107,""price"",TODAY()-150,TODAY()),1,0),""select Col2 limit 50""))"),351.3680000000001)</f>
        <v>351.368</v>
      </c>
      <c r="D107" s="54">
        <f>IFERROR(__xludf.DUMMYFUNCTION("AVERAGE(QUERY(SORT(GOOGLEFINANCE(A107,""price"",TODAY()-300,TODAY()),1,0),""select Col2 limit 100""))"),341.11000000000007)</f>
        <v>341.11</v>
      </c>
      <c r="E107" s="54">
        <f>IFERROR(__xludf.DUMMYFUNCTION("AVERAGE(QUERY(SORT(GOOGLEFINANCE(A107,""price"",TODAY()-500,TODAY()),1,0),""select Col2 limit 200""))"),338.8157499999998)</f>
        <v>338.81575</v>
      </c>
      <c r="F107" s="46" t="str">
        <f t="shared" si="1"/>
        <v>Unconfirmed</v>
      </c>
      <c r="G107" s="48">
        <f t="shared" si="2"/>
        <v>11.26991588</v>
      </c>
    </row>
    <row r="108">
      <c r="A108" s="52" t="s">
        <v>125</v>
      </c>
      <c r="B108" s="53">
        <f>IFERROR(__xludf.DUMMYFUNCTION("GOOGLEFINANCE(A108,""price"")"),2175.9)</f>
        <v>2175.9</v>
      </c>
      <c r="C108" s="54">
        <f>IFERROR(__xludf.DUMMYFUNCTION("AVERAGE(QUERY(SORT(GOOGLEFINANCE(A108,""price"",TODAY()-150,TODAY()),1,0),""select Col2 limit 50""))"),2292.5499999999993)</f>
        <v>2292.55</v>
      </c>
      <c r="D108" s="54">
        <f>IFERROR(__xludf.DUMMYFUNCTION("AVERAGE(QUERY(SORT(GOOGLEFINANCE(A108,""price"",TODAY()-300,TODAY()),1,0),""select Col2 limit 100""))"),2267.597)</f>
        <v>2267.597</v>
      </c>
      <c r="E108" s="54">
        <f>IFERROR(__xludf.DUMMYFUNCTION("AVERAGE(QUERY(SORT(GOOGLEFINANCE(A108,""price"",TODAY()-500,TODAY()),1,0),""select Col2 limit 200""))"),2307.8710000000024)</f>
        <v>2307.871</v>
      </c>
      <c r="F108" s="46" t="str">
        <f t="shared" si="1"/>
        <v>Unconfirmed</v>
      </c>
      <c r="G108" s="48">
        <f t="shared" si="2"/>
        <v>-5.718300546</v>
      </c>
    </row>
    <row r="109">
      <c r="A109" s="52" t="s">
        <v>126</v>
      </c>
      <c r="B109" s="53">
        <f>IFERROR(__xludf.DUMMYFUNCTION("GOOGLEFINANCE(A109,""price"")"),507.1)</f>
        <v>507.1</v>
      </c>
      <c r="C109" s="54">
        <f>IFERROR(__xludf.DUMMYFUNCTION("AVERAGE(QUERY(SORT(GOOGLEFINANCE(A109,""price"",TODAY()-150,TODAY()),1,0),""select Col2 limit 50""))"),510.45400000000006)</f>
        <v>510.454</v>
      </c>
      <c r="D109" s="54">
        <f>IFERROR(__xludf.DUMMYFUNCTION("AVERAGE(QUERY(SORT(GOOGLEFINANCE(A109,""price"",TODAY()-300,TODAY()),1,0),""select Col2 limit 100""))"),508.80750000000023)</f>
        <v>508.8075</v>
      </c>
      <c r="E109" s="54">
        <f>IFERROR(__xludf.DUMMYFUNCTION("AVERAGE(QUERY(SORT(GOOGLEFINANCE(A109,""price"",TODAY()-500,TODAY()),1,0),""select Col2 limit 200""))"),507.58875000000023)</f>
        <v>507.58875</v>
      </c>
      <c r="F109" s="46" t="str">
        <f t="shared" si="1"/>
        <v>Unconfirmed</v>
      </c>
      <c r="G109" s="48">
        <f t="shared" si="2"/>
        <v>-0.09628858008</v>
      </c>
    </row>
    <row r="110">
      <c r="A110" s="52" t="s">
        <v>127</v>
      </c>
      <c r="B110" s="53">
        <f>IFERROR(__xludf.DUMMYFUNCTION("GOOGLEFINANCE(A110,""price"")"),707.75)</f>
        <v>707.75</v>
      </c>
      <c r="C110" s="54">
        <f>IFERROR(__xludf.DUMMYFUNCTION("AVERAGE(QUERY(SORT(GOOGLEFINANCE(A110,""price"",TODAY()-150,TODAY()),1,0),""select Col2 limit 50""))"),733.9539999999996)</f>
        <v>733.954</v>
      </c>
      <c r="D110" s="54">
        <f>IFERROR(__xludf.DUMMYFUNCTION("AVERAGE(QUERY(SORT(GOOGLEFINANCE(A110,""price"",TODAY()-300,TODAY()),1,0),""select Col2 limit 100""))"),745.7345)</f>
        <v>745.7345</v>
      </c>
      <c r="E110" s="54">
        <f>IFERROR(__xludf.DUMMYFUNCTION("AVERAGE(QUERY(SORT(GOOGLEFINANCE(A110,""price"",TODAY()-500,TODAY()),1,0),""select Col2 limit 200""))"),757.7880000000006)</f>
        <v>757.788</v>
      </c>
      <c r="F110" s="46" t="str">
        <f t="shared" si="1"/>
        <v>In Bear Run</v>
      </c>
      <c r="G110" s="48">
        <f t="shared" si="2"/>
        <v>-6.603166057</v>
      </c>
    </row>
    <row r="111">
      <c r="A111" s="52" t="s">
        <v>128</v>
      </c>
      <c r="B111" s="53">
        <f>IFERROR(__xludf.DUMMYFUNCTION("GOOGLEFINANCE(A111,""price"")"),12481.0)</f>
        <v>12481</v>
      </c>
      <c r="C111" s="54">
        <f>IFERROR(__xludf.DUMMYFUNCTION("AVERAGE(QUERY(SORT(GOOGLEFINANCE(A111,""price"",TODAY()-150,TODAY()),1,0),""select Col2 limit 50""))"),12404.24)</f>
        <v>12404.24</v>
      </c>
      <c r="D111" s="54">
        <f>IFERROR(__xludf.DUMMYFUNCTION("AVERAGE(QUERY(SORT(GOOGLEFINANCE(A111,""price"",TODAY()-300,TODAY()),1,0),""select Col2 limit 100""))"),12128.06)</f>
        <v>12128.06</v>
      </c>
      <c r="E111" s="54">
        <f>IFERROR(__xludf.DUMMYFUNCTION("AVERAGE(QUERY(SORT(GOOGLEFINANCE(A111,""price"",TODAY()-500,TODAY()),1,0),""select Col2 limit 200""))"),12130.02)</f>
        <v>12130.02</v>
      </c>
      <c r="F111" s="46" t="str">
        <f t="shared" si="1"/>
        <v>Unconfirmed</v>
      </c>
      <c r="G111" s="48">
        <f t="shared" si="2"/>
        <v>2.893482451</v>
      </c>
    </row>
    <row r="112">
      <c r="A112" s="52" t="s">
        <v>129</v>
      </c>
      <c r="B112" s="53">
        <f>IFERROR(__xludf.DUMMYFUNCTION("GOOGLEFINANCE(A112,""price"")"),491.9)</f>
        <v>491.9</v>
      </c>
      <c r="C112" s="54">
        <f>IFERROR(__xludf.DUMMYFUNCTION("AVERAGE(QUERY(SORT(GOOGLEFINANCE(A112,""price"",TODAY()-150,TODAY()),1,0),""select Col2 limit 50""))"),535.2770000000002)</f>
        <v>535.277</v>
      </c>
      <c r="D112" s="54">
        <f>IFERROR(__xludf.DUMMYFUNCTION("AVERAGE(QUERY(SORT(GOOGLEFINANCE(A112,""price"",TODAY()-300,TODAY()),1,0),""select Col2 limit 100""))"),545.2685)</f>
        <v>545.2685</v>
      </c>
      <c r="E112" s="54">
        <f>IFERROR(__xludf.DUMMYFUNCTION("AVERAGE(QUERY(SORT(GOOGLEFINANCE(A112,""price"",TODAY()-500,TODAY()),1,0),""select Col2 limit 200""))"),560.7162499999998)</f>
        <v>560.71625</v>
      </c>
      <c r="F112" s="46" t="str">
        <f t="shared" si="1"/>
        <v>Unconfirmed</v>
      </c>
      <c r="G112" s="48">
        <f t="shared" si="2"/>
        <v>-12.27291879</v>
      </c>
    </row>
    <row r="113">
      <c r="A113" s="52" t="s">
        <v>130</v>
      </c>
      <c r="B113" s="53">
        <f>IFERROR(__xludf.DUMMYFUNCTION("GOOGLEFINANCE(A113,""price"")"),517.5)</f>
        <v>517.5</v>
      </c>
      <c r="C113" s="54">
        <f>IFERROR(__xludf.DUMMYFUNCTION("AVERAGE(QUERY(SORT(GOOGLEFINANCE(A113,""price"",TODAY()-150,TODAY()),1,0),""select Col2 limit 50""))"),497.269)</f>
        <v>497.269</v>
      </c>
      <c r="D113" s="54">
        <f>IFERROR(__xludf.DUMMYFUNCTION("AVERAGE(QUERY(SORT(GOOGLEFINANCE(A113,""price"",TODAY()-300,TODAY()),1,0),""select Col2 limit 100""))"),488.92150000000015)</f>
        <v>488.9215</v>
      </c>
      <c r="E113" s="54">
        <f>IFERROR(__xludf.DUMMYFUNCTION("AVERAGE(QUERY(SORT(GOOGLEFINANCE(A113,""price"",TODAY()-500,TODAY()),1,0),""select Col2 limit 200""))"),479.55250000000024)</f>
        <v>479.5525</v>
      </c>
      <c r="F113" s="46" t="str">
        <f t="shared" si="1"/>
        <v>In Bull Run</v>
      </c>
      <c r="G113" s="48">
        <f t="shared" si="2"/>
        <v>7.91310649</v>
      </c>
    </row>
    <row r="114">
      <c r="A114" s="52" t="s">
        <v>131</v>
      </c>
      <c r="B114" s="53">
        <f>IFERROR(__xludf.DUMMYFUNCTION("GOOGLEFINANCE(A114,""price"")"),6400.0)</f>
        <v>6400</v>
      </c>
      <c r="C114" s="54">
        <f>IFERROR(__xludf.DUMMYFUNCTION("AVERAGE(QUERY(SORT(GOOGLEFINANCE(A114,""price"",TODAY()-150,TODAY()),1,0),""select Col2 limit 50""))"),6288.93)</f>
        <v>6288.93</v>
      </c>
      <c r="D114" s="54">
        <f>IFERROR(__xludf.DUMMYFUNCTION("AVERAGE(QUERY(SORT(GOOGLEFINANCE(A114,""price"",TODAY()-300,TODAY()),1,0),""select Col2 limit 100""))"),6388.945)</f>
        <v>6388.945</v>
      </c>
      <c r="E114" s="54">
        <f>IFERROR(__xludf.DUMMYFUNCTION("AVERAGE(QUERY(SORT(GOOGLEFINANCE(A114,""price"",TODAY()-500,TODAY()),1,0),""select Col2 limit 200""))"),6391.6275)</f>
        <v>6391.6275</v>
      </c>
      <c r="F114" s="46" t="str">
        <f t="shared" si="1"/>
        <v>Unconfirmed</v>
      </c>
      <c r="G114" s="48">
        <f t="shared" si="2"/>
        <v>0.1309916762</v>
      </c>
    </row>
    <row r="115">
      <c r="A115" s="52" t="s">
        <v>132</v>
      </c>
      <c r="B115" s="53">
        <f>IFERROR(__xludf.DUMMYFUNCTION("GOOGLEFINANCE(A115,""price"")"),4303.0)</f>
        <v>4303</v>
      </c>
      <c r="C115" s="54">
        <f>IFERROR(__xludf.DUMMYFUNCTION("AVERAGE(QUERY(SORT(GOOGLEFINANCE(A115,""price"",TODAY()-150,TODAY()),1,0),""select Col2 limit 50""))"),3838.406)</f>
        <v>3838.406</v>
      </c>
      <c r="D115" s="54">
        <f>IFERROR(__xludf.DUMMYFUNCTION("AVERAGE(QUERY(SORT(GOOGLEFINANCE(A115,""price"",TODAY()-300,TODAY()),1,0),""select Col2 limit 100""))"),3911.193999999999)</f>
        <v>3911.194</v>
      </c>
      <c r="E115" s="54">
        <f>IFERROR(__xludf.DUMMYFUNCTION("AVERAGE(QUERY(SORT(GOOGLEFINANCE(A115,""price"",TODAY()-500,TODAY()),1,0),""select Col2 limit 200""))"),3981.2075)</f>
        <v>3981.2075</v>
      </c>
      <c r="F115" s="46" t="str">
        <f t="shared" si="1"/>
        <v>Unconfirmed</v>
      </c>
      <c r="G115" s="48">
        <f t="shared" si="2"/>
        <v>8.082786441</v>
      </c>
    </row>
    <row r="116">
      <c r="A116" s="52" t="s">
        <v>133</v>
      </c>
      <c r="B116" s="53">
        <f>IFERROR(__xludf.DUMMYFUNCTION("GOOGLEFINANCE(A116,""price"")"),2638.0)</f>
        <v>2638</v>
      </c>
      <c r="C116" s="54">
        <f>IFERROR(__xludf.DUMMYFUNCTION("AVERAGE(QUERY(SORT(GOOGLEFINANCE(A116,""price"",TODAY()-150,TODAY()),1,0),""select Col2 limit 50""))"),2532.89)</f>
        <v>2532.89</v>
      </c>
      <c r="D116" s="54">
        <f>IFERROR(__xludf.DUMMYFUNCTION("AVERAGE(QUERY(SORT(GOOGLEFINANCE(A116,""price"",TODAY()-300,TODAY()),1,0),""select Col2 limit 100""))"),2652.8530000000014)</f>
        <v>2652.853</v>
      </c>
      <c r="E116" s="54">
        <f>IFERROR(__xludf.DUMMYFUNCTION("AVERAGE(QUERY(SORT(GOOGLEFINANCE(A116,""price"",TODAY()-500,TODAY()),1,0),""select Col2 limit 200""))"),2652.3635000000013)</f>
        <v>2652.3635</v>
      </c>
      <c r="F116" s="46" t="str">
        <f t="shared" si="1"/>
        <v>Unconfirmed</v>
      </c>
      <c r="G116" s="48">
        <f t="shared" si="2"/>
        <v>-0.5415358792</v>
      </c>
    </row>
    <row r="117">
      <c r="A117" s="52" t="s">
        <v>134</v>
      </c>
      <c r="B117" s="53">
        <f>IFERROR(__xludf.DUMMYFUNCTION("GOOGLEFINANCE(A117,""price"")"),3305.0)</f>
        <v>3305</v>
      </c>
      <c r="C117" s="54">
        <f>IFERROR(__xludf.DUMMYFUNCTION("AVERAGE(QUERY(SORT(GOOGLEFINANCE(A117,""price"",TODAY()-150,TODAY()),1,0),""select Col2 limit 50""))"),3418.506)</f>
        <v>3418.506</v>
      </c>
      <c r="D117" s="54">
        <f>IFERROR(__xludf.DUMMYFUNCTION("AVERAGE(QUERY(SORT(GOOGLEFINANCE(A117,""price"",TODAY()-300,TODAY()),1,0),""select Col2 limit 100""))"),3495.8809999999994)</f>
        <v>3495.881</v>
      </c>
      <c r="E117" s="54">
        <f>IFERROR(__xludf.DUMMYFUNCTION("AVERAGE(QUERY(SORT(GOOGLEFINANCE(A117,""price"",TODAY()-500,TODAY()),1,0),""select Col2 limit 200""))"),3544.663000000002)</f>
        <v>3544.663</v>
      </c>
      <c r="F117" s="46" t="str">
        <f t="shared" si="1"/>
        <v>In Bear Run</v>
      </c>
      <c r="G117" s="48">
        <f t="shared" si="2"/>
        <v>-6.76123513</v>
      </c>
    </row>
    <row r="118">
      <c r="A118" s="52" t="s">
        <v>135</v>
      </c>
      <c r="B118" s="53">
        <f>IFERROR(__xludf.DUMMYFUNCTION("GOOGLEFINANCE(A118,""price"")"),1670.1)</f>
        <v>1670.1</v>
      </c>
      <c r="C118" s="54">
        <f>IFERROR(__xludf.DUMMYFUNCTION("AVERAGE(QUERY(SORT(GOOGLEFINANCE(A118,""price"",TODAY()-150,TODAY()),1,0),""select Col2 limit 50""))"),1497.3360000000002)</f>
        <v>1497.336</v>
      </c>
      <c r="D118" s="54">
        <f>IFERROR(__xludf.DUMMYFUNCTION("AVERAGE(QUERY(SORT(GOOGLEFINANCE(A118,""price"",TODAY()-300,TODAY()),1,0),""select Col2 limit 100""))"),1477.48)</f>
        <v>1477.48</v>
      </c>
      <c r="E118" s="54">
        <f>IFERROR(__xludf.DUMMYFUNCTION("AVERAGE(QUERY(SORT(GOOGLEFINANCE(A118,""price"",TODAY()-500,TODAY()),1,0),""select Col2 limit 200""))"),1463.9520000000005)</f>
        <v>1463.952</v>
      </c>
      <c r="F118" s="46" t="str">
        <f t="shared" si="1"/>
        <v>Unconfirmed</v>
      </c>
      <c r="G118" s="48">
        <f t="shared" si="2"/>
        <v>14.08160923</v>
      </c>
    </row>
    <row r="119">
      <c r="A119" s="52" t="s">
        <v>136</v>
      </c>
      <c r="B119" s="53">
        <f>IFERROR(__xludf.DUMMYFUNCTION("GOOGLEFINANCE(A119,""price"")"),1288.1)</f>
        <v>1288.1</v>
      </c>
      <c r="C119" s="54">
        <f>IFERROR(__xludf.DUMMYFUNCTION("AVERAGE(QUERY(SORT(GOOGLEFINANCE(A119,""price"",TODAY()-150,TODAY()),1,0),""select Col2 limit 50""))"),1248.304)</f>
        <v>1248.304</v>
      </c>
      <c r="D119" s="54">
        <f>IFERROR(__xludf.DUMMYFUNCTION("AVERAGE(QUERY(SORT(GOOGLEFINANCE(A119,""price"",TODAY()-300,TODAY()),1,0),""select Col2 limit 100""))"),1249.0859999999998)</f>
        <v>1249.086</v>
      </c>
      <c r="E119" s="54">
        <f>IFERROR(__xludf.DUMMYFUNCTION("AVERAGE(QUERY(SORT(GOOGLEFINANCE(A119,""price"",TODAY()-500,TODAY()),1,0),""select Col2 limit 200""))"),1260.995)</f>
        <v>1260.995</v>
      </c>
      <c r="F119" s="46" t="str">
        <f t="shared" si="1"/>
        <v>Unconfirmed</v>
      </c>
      <c r="G119" s="48">
        <f t="shared" si="2"/>
        <v>2.149493059</v>
      </c>
    </row>
    <row r="120">
      <c r="A120" s="52" t="s">
        <v>137</v>
      </c>
      <c r="B120" s="53">
        <f>IFERROR(__xludf.DUMMYFUNCTION("GOOGLEFINANCE(A120,""price"")"),3428.4)</f>
        <v>3428.4</v>
      </c>
      <c r="C120" s="54">
        <f>IFERROR(__xludf.DUMMYFUNCTION("AVERAGE(QUERY(SORT(GOOGLEFINANCE(A120,""price"",TODAY()-150,TODAY()),1,0),""select Col2 limit 50""))"),3963.900000000001)</f>
        <v>3963.9</v>
      </c>
      <c r="D120" s="54">
        <f>IFERROR(__xludf.DUMMYFUNCTION("AVERAGE(QUERY(SORT(GOOGLEFINANCE(A120,""price"",TODAY()-300,TODAY()),1,0),""select Col2 limit 100""))"),4129.149)</f>
        <v>4129.149</v>
      </c>
      <c r="E120" s="54">
        <f>IFERROR(__xludf.DUMMYFUNCTION("AVERAGE(QUERY(SORT(GOOGLEFINANCE(A120,""price"",TODAY()-500,TODAY()),1,0),""select Col2 limit 200""))"),4217.764999999999)</f>
        <v>4217.765</v>
      </c>
      <c r="F120" s="46" t="str">
        <f t="shared" si="1"/>
        <v>Unconfirmed</v>
      </c>
      <c r="G120" s="48">
        <f t="shared" si="2"/>
        <v>-18.71524374</v>
      </c>
    </row>
    <row r="121">
      <c r="A121" s="52" t="s">
        <v>138</v>
      </c>
      <c r="B121" s="53">
        <f>IFERROR(__xludf.DUMMYFUNCTION("GOOGLEFINANCE(A121,""price"")"),1215.0)</f>
        <v>1215</v>
      </c>
      <c r="C121" s="54">
        <f>IFERROR(__xludf.DUMMYFUNCTION("AVERAGE(QUERY(SORT(GOOGLEFINANCE(A121,""price"",TODAY()-150,TODAY()),1,0),""select Col2 limit 50""))"),1237.9360000000001)</f>
        <v>1237.936</v>
      </c>
      <c r="D121" s="54">
        <f>IFERROR(__xludf.DUMMYFUNCTION("AVERAGE(QUERY(SORT(GOOGLEFINANCE(A121,""price"",TODAY()-300,TODAY()),1,0),""select Col2 limit 100""))"),1261.218)</f>
        <v>1261.218</v>
      </c>
      <c r="E121" s="54">
        <f>IFERROR(__xludf.DUMMYFUNCTION("AVERAGE(QUERY(SORT(GOOGLEFINANCE(A121,""price"",TODAY()-500,TODAY()),1,0),""select Col2 limit 200""))"),1337.0410000000002)</f>
        <v>1337.041</v>
      </c>
      <c r="F121" s="46" t="str">
        <f t="shared" si="1"/>
        <v>In Bear Run</v>
      </c>
      <c r="G121" s="48">
        <f t="shared" si="2"/>
        <v>-9.127693167</v>
      </c>
    </row>
    <row r="122">
      <c r="A122" s="52" t="s">
        <v>139</v>
      </c>
      <c r="B122" s="53">
        <f>IFERROR(__xludf.DUMMYFUNCTION("GOOGLEFINANCE(A122,""price"")"),1968.9)</f>
        <v>1968.9</v>
      </c>
      <c r="C122" s="54">
        <f>IFERROR(__xludf.DUMMYFUNCTION("AVERAGE(QUERY(SORT(GOOGLEFINANCE(A122,""price"",TODAY()-150,TODAY()),1,0),""select Col2 limit 50""))"),2108.7699999999995)</f>
        <v>2108.77</v>
      </c>
      <c r="D122" s="54">
        <f>IFERROR(__xludf.DUMMYFUNCTION("AVERAGE(QUERY(SORT(GOOGLEFINANCE(A122,""price"",TODAY()-300,TODAY()),1,0),""select Col2 limit 100""))"),2094.2339999999995)</f>
        <v>2094.234</v>
      </c>
      <c r="E122" s="54">
        <f>IFERROR(__xludf.DUMMYFUNCTION("AVERAGE(QUERY(SORT(GOOGLEFINANCE(A122,""price"",TODAY()-500,TODAY()),1,0),""select Col2 limit 200""))"),2159.1035)</f>
        <v>2159.1035</v>
      </c>
      <c r="F122" s="46" t="str">
        <f t="shared" si="1"/>
        <v>Unconfirmed</v>
      </c>
      <c r="G122" s="48">
        <f t="shared" si="2"/>
        <v>-8.809373891</v>
      </c>
    </row>
    <row r="123">
      <c r="A123" s="52" t="s">
        <v>140</v>
      </c>
      <c r="B123" s="53">
        <f>IFERROR(__xludf.DUMMYFUNCTION("GOOGLEFINANCE(A123,""price"")"),249.1)</f>
        <v>249.1</v>
      </c>
      <c r="C123" s="54">
        <f>IFERROR(__xludf.DUMMYFUNCTION("AVERAGE(QUERY(SORT(GOOGLEFINANCE(A123,""price"",TODAY()-150,TODAY()),1,0),""select Col2 limit 50""))"),274.31000000000006)</f>
        <v>274.31</v>
      </c>
      <c r="D123" s="54">
        <f>IFERROR(__xludf.DUMMYFUNCTION("AVERAGE(QUERY(SORT(GOOGLEFINANCE(A123,""price"",TODAY()-300,TODAY()),1,0),""select Col2 limit 100""))"),289.59700000000004)</f>
        <v>289.597</v>
      </c>
      <c r="E123" s="54">
        <f>IFERROR(__xludf.DUMMYFUNCTION("AVERAGE(QUERY(SORT(GOOGLEFINANCE(A123,""price"",TODAY()-500,TODAY()),1,0),""select Col2 limit 200""))"),299.33399999999995)</f>
        <v>299.334</v>
      </c>
      <c r="F123" s="46" t="str">
        <f t="shared" si="1"/>
        <v>Unconfirmed</v>
      </c>
      <c r="G123" s="48">
        <f t="shared" si="2"/>
        <v>-16.78192253</v>
      </c>
    </row>
    <row r="124">
      <c r="A124" s="52" t="s">
        <v>141</v>
      </c>
      <c r="B124" s="53">
        <f>IFERROR(__xludf.DUMMYFUNCTION("GOOGLEFINANCE(A124,""price"")"),1935.0)</f>
        <v>1935</v>
      </c>
      <c r="C124" s="54">
        <f>IFERROR(__xludf.DUMMYFUNCTION("AVERAGE(QUERY(SORT(GOOGLEFINANCE(A124,""price"",TODAY()-150,TODAY()),1,0),""select Col2 limit 50""))"),2012.7119999999995)</f>
        <v>2012.712</v>
      </c>
      <c r="D124" s="54">
        <f>IFERROR(__xludf.DUMMYFUNCTION("AVERAGE(QUERY(SORT(GOOGLEFINANCE(A124,""price"",TODAY()-300,TODAY()),1,0),""select Col2 limit 100""))"),2043.6010000000006)</f>
        <v>2043.601</v>
      </c>
      <c r="E124" s="54">
        <f>IFERROR(__xludf.DUMMYFUNCTION("AVERAGE(QUERY(SORT(GOOGLEFINANCE(A124,""price"",TODAY()-500,TODAY()),1,0),""select Col2 limit 200""))"),2023.3965000000005)</f>
        <v>2023.3965</v>
      </c>
      <c r="F124" s="46" t="str">
        <f t="shared" si="1"/>
        <v>Unconfirmed</v>
      </c>
      <c r="G124" s="48">
        <f t="shared" si="2"/>
        <v>-4.368718637</v>
      </c>
    </row>
    <row r="125">
      <c r="A125" s="52" t="s">
        <v>142</v>
      </c>
      <c r="B125" s="53">
        <f>IFERROR(__xludf.DUMMYFUNCTION("GOOGLEFINANCE(A125,""price"")"),471.0)</f>
        <v>471</v>
      </c>
      <c r="C125" s="54">
        <f>IFERROR(__xludf.DUMMYFUNCTION("AVERAGE(QUERY(SORT(GOOGLEFINANCE(A125,""price"",TODAY()-150,TODAY()),1,0),""select Col2 limit 50""))"),663.727)</f>
        <v>663.727</v>
      </c>
      <c r="D125" s="54">
        <f>IFERROR(__xludf.DUMMYFUNCTION("AVERAGE(QUERY(SORT(GOOGLEFINANCE(A125,""price"",TODAY()-300,TODAY()),1,0),""select Col2 limit 100""))"),693.8004999999996)</f>
        <v>693.8005</v>
      </c>
      <c r="E125" s="54">
        <f>IFERROR(__xludf.DUMMYFUNCTION("AVERAGE(QUERY(SORT(GOOGLEFINANCE(A125,""price"",TODAY()-500,TODAY()),1,0),""select Col2 limit 200""))"),739.5375)</f>
        <v>739.5375</v>
      </c>
      <c r="F125" s="46" t="str">
        <f t="shared" si="1"/>
        <v>Unconfirmed</v>
      </c>
      <c r="G125" s="48">
        <f t="shared" si="2"/>
        <v>-36.31154607</v>
      </c>
    </row>
    <row r="126">
      <c r="A126" s="52" t="s">
        <v>143</v>
      </c>
      <c r="B126" s="53">
        <f>IFERROR(__xludf.DUMMYFUNCTION("GOOGLEFINANCE(A126,""price"")"),445.0)</f>
        <v>445</v>
      </c>
      <c r="C126" s="54">
        <f>IFERROR(__xludf.DUMMYFUNCTION("AVERAGE(QUERY(SORT(GOOGLEFINANCE(A126,""price"",TODAY()-150,TODAY()),1,0),""select Col2 limit 50""))"),472.619)</f>
        <v>472.619</v>
      </c>
      <c r="D126" s="54">
        <f>IFERROR(__xludf.DUMMYFUNCTION("AVERAGE(QUERY(SORT(GOOGLEFINANCE(A126,""price"",TODAY()-300,TODAY()),1,0),""select Col2 limit 100""))"),468.31600000000003)</f>
        <v>468.316</v>
      </c>
      <c r="E126" s="54">
        <f>IFERROR(__xludf.DUMMYFUNCTION("AVERAGE(QUERY(SORT(GOOGLEFINANCE(A126,""price"",TODAY()-500,TODAY()),1,0),""select Col2 limit 200""))"),473.8067500000001)</f>
        <v>473.80675</v>
      </c>
      <c r="F126" s="46" t="str">
        <f t="shared" si="1"/>
        <v>Unconfirmed</v>
      </c>
      <c r="G126" s="48">
        <f t="shared" si="2"/>
        <v>-6.079852176</v>
      </c>
    </row>
    <row r="127">
      <c r="A127" s="52" t="s">
        <v>144</v>
      </c>
      <c r="B127" s="53">
        <f>IFERROR(__xludf.DUMMYFUNCTION("GOOGLEFINANCE(A127,""price"")"),1753.2)</f>
        <v>1753.2</v>
      </c>
      <c r="C127" s="54">
        <f>IFERROR(__xludf.DUMMYFUNCTION("AVERAGE(QUERY(SORT(GOOGLEFINANCE(A127,""price"",TODAY()-150,TODAY()),1,0),""select Col2 limit 50""))"),1706.5879999999995)</f>
        <v>1706.588</v>
      </c>
      <c r="D127" s="54">
        <f>IFERROR(__xludf.DUMMYFUNCTION("AVERAGE(QUERY(SORT(GOOGLEFINANCE(A127,""price"",TODAY()-300,TODAY()),1,0),""select Col2 limit 100""))"),1721.6749999999997)</f>
        <v>1721.675</v>
      </c>
      <c r="E127" s="54">
        <f>IFERROR(__xludf.DUMMYFUNCTION("AVERAGE(QUERY(SORT(GOOGLEFINANCE(A127,""price"",TODAY()-500,TODAY()),1,0),""select Col2 limit 200""))"),1688.318)</f>
        <v>1688.318</v>
      </c>
      <c r="F127" s="46" t="str">
        <f t="shared" si="1"/>
        <v>Unconfirmed</v>
      </c>
      <c r="G127" s="48">
        <f t="shared" si="2"/>
        <v>3.842996402</v>
      </c>
    </row>
    <row r="128">
      <c r="A128" s="52" t="s">
        <v>145</v>
      </c>
      <c r="B128" s="53">
        <f>IFERROR(__xludf.DUMMYFUNCTION("GOOGLEFINANCE(A128,""price"")"),242.3)</f>
        <v>242.3</v>
      </c>
      <c r="C128" s="54">
        <f>IFERROR(__xludf.DUMMYFUNCTION("AVERAGE(QUERY(SORT(GOOGLEFINANCE(A128,""price"",TODAY()-150,TODAY()),1,0),""select Col2 limit 50""))"),278.31539999999995)</f>
        <v>278.3154</v>
      </c>
      <c r="D128" s="54">
        <f>IFERROR(__xludf.DUMMYFUNCTION("AVERAGE(QUERY(SORT(GOOGLEFINANCE(A128,""price"",TODAY()-300,TODAY()),1,0),""select Col2 limit 100""))"),296.2111999999999)</f>
        <v>296.2112</v>
      </c>
      <c r="E128" s="54">
        <f>IFERROR(__xludf.DUMMYFUNCTION("AVERAGE(QUERY(SORT(GOOGLEFINANCE(A128,""price"",TODAY()-500,TODAY()),1,0),""select Col2 limit 200""))"),291.41235)</f>
        <v>291.41235</v>
      </c>
      <c r="F128" s="46" t="str">
        <f t="shared" si="1"/>
        <v>Unconfirmed</v>
      </c>
      <c r="G128" s="48">
        <f t="shared" si="2"/>
        <v>-16.85321504</v>
      </c>
    </row>
    <row r="129">
      <c r="A129" s="52" t="s">
        <v>146</v>
      </c>
      <c r="B129" s="53">
        <f>IFERROR(__xludf.DUMMYFUNCTION("GOOGLEFINANCE(A129,""price"")"),300.05)</f>
        <v>300.05</v>
      </c>
      <c r="C129" s="54">
        <f>IFERROR(__xludf.DUMMYFUNCTION("AVERAGE(QUERY(SORT(GOOGLEFINANCE(A129,""price"",TODAY()-150,TODAY()),1,0),""select Col2 limit 50""))"),330.414)</f>
        <v>330.414</v>
      </c>
      <c r="D129" s="54">
        <f>IFERROR(__xludf.DUMMYFUNCTION("AVERAGE(QUERY(SORT(GOOGLEFINANCE(A129,""price"",TODAY()-300,TODAY()),1,0),""select Col2 limit 100""))"),327.1525000000001)</f>
        <v>327.1525</v>
      </c>
      <c r="E129" s="54">
        <f>IFERROR(__xludf.DUMMYFUNCTION("AVERAGE(QUERY(SORT(GOOGLEFINANCE(A129,""price"",TODAY()-500,TODAY()),1,0),""select Col2 limit 200""))"),348.68425)</f>
        <v>348.68425</v>
      </c>
      <c r="F129" s="46" t="str">
        <f t="shared" si="1"/>
        <v>Unconfirmed</v>
      </c>
      <c r="G129" s="48">
        <f t="shared" si="2"/>
        <v>-13.94793427</v>
      </c>
    </row>
    <row r="130">
      <c r="A130" s="52" t="s">
        <v>147</v>
      </c>
      <c r="B130" s="53">
        <f>IFERROR(__xludf.DUMMYFUNCTION("GOOGLEFINANCE(A130,""price"")"),181.85)</f>
        <v>181.85</v>
      </c>
      <c r="C130" s="54">
        <f>IFERROR(__xludf.DUMMYFUNCTION("AVERAGE(QUERY(SORT(GOOGLEFINANCE(A130,""price"",TODAY()-150,TODAY()),1,0),""select Col2 limit 50""))"),205.53339999999997)</f>
        <v>205.5334</v>
      </c>
      <c r="D130" s="54">
        <f>IFERROR(__xludf.DUMMYFUNCTION("AVERAGE(QUERY(SORT(GOOGLEFINANCE(A130,""price"",TODAY()-300,TODAY()),1,0),""select Col2 limit 100""))"),216.9325)</f>
        <v>216.9325</v>
      </c>
      <c r="E130" s="54">
        <f>IFERROR(__xludf.DUMMYFUNCTION("AVERAGE(QUERY(SORT(GOOGLEFINANCE(A130,""price"",TODAY()-500,TODAY()),1,0),""select Col2 limit 200""))"),221.31515)</f>
        <v>221.31515</v>
      </c>
      <c r="F130" s="46" t="str">
        <f t="shared" si="1"/>
        <v>Unconfirmed</v>
      </c>
      <c r="G130" s="48">
        <f t="shared" si="2"/>
        <v>-17.83210503</v>
      </c>
    </row>
    <row r="131">
      <c r="A131" s="52" t="s">
        <v>148</v>
      </c>
      <c r="B131" s="53">
        <f>IFERROR(__xludf.DUMMYFUNCTION("GOOGLEFINANCE(A131,""price"")"),289.85)</f>
        <v>289.85</v>
      </c>
      <c r="C131" s="54">
        <f>IFERROR(__xludf.DUMMYFUNCTION("AVERAGE(QUERY(SORT(GOOGLEFINANCE(A131,""price"",TODAY()-150,TODAY()),1,0),""select Col2 limit 50""))"),345.24299999999994)</f>
        <v>345.243</v>
      </c>
      <c r="D131" s="54">
        <f>IFERROR(__xludf.DUMMYFUNCTION("AVERAGE(QUERY(SORT(GOOGLEFINANCE(A131,""price"",TODAY()-300,TODAY()),1,0),""select Col2 limit 100""))"),376.6220000000002)</f>
        <v>376.622</v>
      </c>
      <c r="E131" s="54">
        <f>IFERROR(__xludf.DUMMYFUNCTION("AVERAGE(QUERY(SORT(GOOGLEFINANCE(A131,""price"",TODAY()-500,TODAY()),1,0),""select Col2 limit 200""))"),384.48199999999997)</f>
        <v>384.482</v>
      </c>
      <c r="F131" s="46" t="str">
        <f t="shared" si="1"/>
        <v>Unconfirmed</v>
      </c>
      <c r="G131" s="48">
        <f t="shared" si="2"/>
        <v>-24.61285574</v>
      </c>
    </row>
    <row r="132">
      <c r="A132" s="52" t="s">
        <v>149</v>
      </c>
      <c r="B132" s="53">
        <f>IFERROR(__xludf.DUMMYFUNCTION("GOOGLEFINANCE(A132,""price"")"),484.7)</f>
        <v>484.7</v>
      </c>
      <c r="C132" s="54">
        <f>IFERROR(__xludf.DUMMYFUNCTION("AVERAGE(QUERY(SORT(GOOGLEFINANCE(A132,""price"",TODAY()-150,TODAY()),1,0),""select Col2 limit 50""))"),451.90399999999994)</f>
        <v>451.904</v>
      </c>
      <c r="D132" s="54">
        <f>IFERROR(__xludf.DUMMYFUNCTION("AVERAGE(QUERY(SORT(GOOGLEFINANCE(A132,""price"",TODAY()-300,TODAY()),1,0),""select Col2 limit 100""))"),435.82749999999993)</f>
        <v>435.8275</v>
      </c>
      <c r="E132" s="54">
        <f>IFERROR(__xludf.DUMMYFUNCTION("AVERAGE(QUERY(SORT(GOOGLEFINANCE(A132,""price"",TODAY()-500,TODAY()),1,0),""select Col2 limit 200""))"),431.4425)</f>
        <v>431.4425</v>
      </c>
      <c r="F132" s="46" t="str">
        <f t="shared" si="1"/>
        <v>Unconfirmed</v>
      </c>
      <c r="G132" s="48">
        <f t="shared" si="2"/>
        <v>12.34405512</v>
      </c>
    </row>
    <row r="133">
      <c r="A133" s="52" t="s">
        <v>150</v>
      </c>
      <c r="B133" s="53">
        <f>IFERROR(__xludf.DUMMYFUNCTION("GOOGLEFINANCE(A133,""price"")"),1892.6)</f>
        <v>1892.6</v>
      </c>
      <c r="C133" s="54">
        <f>IFERROR(__xludf.DUMMYFUNCTION("AVERAGE(QUERY(SORT(GOOGLEFINANCE(A133,""price"",TODAY()-150,TODAY()),1,0),""select Col2 limit 50""))"),1906.5599999999997)</f>
        <v>1906.56</v>
      </c>
      <c r="D133" s="54">
        <f>IFERROR(__xludf.DUMMYFUNCTION("AVERAGE(QUERY(SORT(GOOGLEFINANCE(A133,""price"",TODAY()-300,TODAY()),1,0),""select Col2 limit 100""))"),1943.5609999999997)</f>
        <v>1943.561</v>
      </c>
      <c r="E133" s="54">
        <f>IFERROR(__xludf.DUMMYFUNCTION("AVERAGE(QUERY(SORT(GOOGLEFINANCE(A133,""price"",TODAY()-500,TODAY()),1,0),""select Col2 limit 200""))"),1931.5125)</f>
        <v>1931.5125</v>
      </c>
      <c r="F133" s="46" t="str">
        <f t="shared" si="1"/>
        <v>Unconfirmed</v>
      </c>
      <c r="G133" s="48">
        <f t="shared" si="2"/>
        <v>-2.014612901</v>
      </c>
    </row>
    <row r="134">
      <c r="A134" s="52" t="s">
        <v>151</v>
      </c>
      <c r="B134" s="53">
        <f>IFERROR(__xludf.DUMMYFUNCTION("GOOGLEFINANCE(A134,""price"")"),25555.0)</f>
        <v>25555</v>
      </c>
      <c r="C134" s="54">
        <f>IFERROR(__xludf.DUMMYFUNCTION("AVERAGE(QUERY(SORT(GOOGLEFINANCE(A134,""price"",TODAY()-150,TODAY()),1,0),""select Col2 limit 50""))"),19954.36)</f>
        <v>19954.36</v>
      </c>
      <c r="D134" s="54">
        <f>IFERROR(__xludf.DUMMYFUNCTION("AVERAGE(QUERY(SORT(GOOGLEFINANCE(A134,""price"",TODAY()-300,TODAY()),1,0),""select Col2 limit 100""))"),19776.45)</f>
        <v>19776.45</v>
      </c>
      <c r="E134" s="54">
        <f>IFERROR(__xludf.DUMMYFUNCTION("AVERAGE(QUERY(SORT(GOOGLEFINANCE(A134,""price"",TODAY()-500,TODAY()),1,0),""select Col2 limit 200""))"),19427.935)</f>
        <v>19427.935</v>
      </c>
      <c r="F134" s="46" t="str">
        <f t="shared" si="1"/>
        <v>Unconfirmed</v>
      </c>
      <c r="G134" s="48">
        <f t="shared" si="2"/>
        <v>31.53739705</v>
      </c>
    </row>
    <row r="135">
      <c r="A135" s="52" t="s">
        <v>152</v>
      </c>
      <c r="B135" s="53">
        <f>IFERROR(__xludf.DUMMYFUNCTION("GOOGLEFINANCE(A135,""price"")"),882.1)</f>
        <v>882.1</v>
      </c>
      <c r="C135" s="54">
        <f>IFERROR(__xludf.DUMMYFUNCTION("AVERAGE(QUERY(SORT(GOOGLEFINANCE(A135,""price"",TODAY()-150,TODAY()),1,0),""select Col2 limit 50""))"),942.0149999999998)</f>
        <v>942.015</v>
      </c>
      <c r="D135" s="54">
        <f>IFERROR(__xludf.DUMMYFUNCTION("AVERAGE(QUERY(SORT(GOOGLEFINANCE(A135,""price"",TODAY()-300,TODAY()),1,0),""select Col2 limit 100""))"),968.0959999999999)</f>
        <v>968.096</v>
      </c>
      <c r="E135" s="54">
        <f>IFERROR(__xludf.DUMMYFUNCTION("AVERAGE(QUERY(SORT(GOOGLEFINANCE(A135,""price"",TODAY()-500,TODAY()),1,0),""select Col2 limit 200""))"),973.7212500000004)</f>
        <v>973.72125</v>
      </c>
      <c r="F135" s="46" t="str">
        <f t="shared" si="1"/>
        <v>In Bear Run</v>
      </c>
      <c r="G135" s="48">
        <f t="shared" si="2"/>
        <v>-9.409392062</v>
      </c>
    </row>
    <row r="136">
      <c r="A136" s="52" t="s">
        <v>153</v>
      </c>
      <c r="B136" s="53">
        <f>IFERROR(__xludf.DUMMYFUNCTION("GOOGLEFINANCE(A136,""price"")"),1510.0)</f>
        <v>1510</v>
      </c>
      <c r="C136" s="54">
        <f>IFERROR(__xludf.DUMMYFUNCTION("AVERAGE(QUERY(SORT(GOOGLEFINANCE(A136,""price"",TODAY()-150,TODAY()),1,0),""select Col2 limit 50""))"),1466.0559999999998)</f>
        <v>1466.056</v>
      </c>
      <c r="D136" s="54">
        <f>IFERROR(__xludf.DUMMYFUNCTION("AVERAGE(QUERY(SORT(GOOGLEFINANCE(A136,""price"",TODAY()-300,TODAY()),1,0),""select Col2 limit 100""))"),1418.2509999999995)</f>
        <v>1418.251</v>
      </c>
      <c r="E136" s="54">
        <f>IFERROR(__xludf.DUMMYFUNCTION("AVERAGE(QUERY(SORT(GOOGLEFINANCE(A136,""price"",TODAY()-500,TODAY()),1,0),""select Col2 limit 200""))"),1407.921999999999)</f>
        <v>1407.922</v>
      </c>
      <c r="F136" s="46" t="str">
        <f t="shared" si="1"/>
        <v>In Bull Run</v>
      </c>
      <c r="G136" s="48">
        <f t="shared" si="2"/>
        <v>7.250259602</v>
      </c>
    </row>
    <row r="137">
      <c r="A137" s="52" t="s">
        <v>154</v>
      </c>
      <c r="B137" s="53">
        <f>IFERROR(__xludf.DUMMYFUNCTION("GOOGLEFINANCE(A137,""price"")"),710.1)</f>
        <v>710.1</v>
      </c>
      <c r="C137" s="54">
        <f>IFERROR(__xludf.DUMMYFUNCTION("AVERAGE(QUERY(SORT(GOOGLEFINANCE(A137,""price"",TODAY()-150,TODAY()),1,0),""select Col2 limit 50""))"),824.9959999999998)</f>
        <v>824.996</v>
      </c>
      <c r="D137" s="54">
        <f>IFERROR(__xludf.DUMMYFUNCTION("AVERAGE(QUERY(SORT(GOOGLEFINANCE(A137,""price"",TODAY()-300,TODAY()),1,0),""select Col2 limit 100""))"),851.6515)</f>
        <v>851.6515</v>
      </c>
      <c r="E137" s="54">
        <f>IFERROR(__xludf.DUMMYFUNCTION("AVERAGE(QUERY(SORT(GOOGLEFINANCE(A137,""price"",TODAY()-500,TODAY()),1,0),""select Col2 limit 200""))"),907.3072500000001)</f>
        <v>907.30725</v>
      </c>
      <c r="F137" s="46" t="str">
        <f t="shared" si="1"/>
        <v>Unconfirmed</v>
      </c>
      <c r="G137" s="48">
        <f t="shared" si="2"/>
        <v>-21.73544298</v>
      </c>
    </row>
    <row r="138">
      <c r="A138" s="52" t="s">
        <v>155</v>
      </c>
      <c r="B138" s="53">
        <f>IFERROR(__xludf.DUMMYFUNCTION("GOOGLEFINANCE(A138,""price"")"),2534.4)</f>
        <v>2534.4</v>
      </c>
      <c r="C138" s="54">
        <f>IFERROR(__xludf.DUMMYFUNCTION("AVERAGE(QUERY(SORT(GOOGLEFINANCE(A138,""price"",TODAY()-150,TODAY()),1,0),""select Col2 limit 50""))"),2893.5100000000007)</f>
        <v>2893.51</v>
      </c>
      <c r="D138" s="54">
        <f>IFERROR(__xludf.DUMMYFUNCTION("AVERAGE(QUERY(SORT(GOOGLEFINANCE(A138,""price"",TODAY()-300,TODAY()),1,0),""select Col2 limit 100""))"),2921.9800000000005)</f>
        <v>2921.98</v>
      </c>
      <c r="E138" s="54">
        <f>IFERROR(__xludf.DUMMYFUNCTION("AVERAGE(QUERY(SORT(GOOGLEFINANCE(A138,""price"",TODAY()-500,TODAY()),1,0),""select Col2 limit 200""))"),2964.6415000000015)</f>
        <v>2964.6415</v>
      </c>
      <c r="F138" s="46" t="str">
        <f t="shared" si="1"/>
        <v>Unconfirmed</v>
      </c>
      <c r="G138" s="48">
        <f t="shared" si="2"/>
        <v>-14.51242924</v>
      </c>
    </row>
    <row r="139">
      <c r="A139" s="52" t="s">
        <v>156</v>
      </c>
      <c r="B139" s="53">
        <f>IFERROR(__xludf.DUMMYFUNCTION("GOOGLEFINANCE(A139,""price"")"),1500.0)</f>
        <v>1500</v>
      </c>
      <c r="C139" s="54">
        <f>IFERROR(__xludf.DUMMYFUNCTION("AVERAGE(QUERY(SORT(GOOGLEFINANCE(A139,""price"",TODAY()-150,TODAY()),1,0),""select Col2 limit 50""))"),1436.244)</f>
        <v>1436.244</v>
      </c>
      <c r="D139" s="54">
        <f>IFERROR(__xludf.DUMMYFUNCTION("AVERAGE(QUERY(SORT(GOOGLEFINANCE(A139,""price"",TODAY()-300,TODAY()),1,0),""select Col2 limit 100""))"),1406.8369999999995)</f>
        <v>1406.837</v>
      </c>
      <c r="E139" s="54">
        <f>IFERROR(__xludf.DUMMYFUNCTION("AVERAGE(QUERY(SORT(GOOGLEFINANCE(A139,""price"",TODAY()-500,TODAY()),1,0),""select Col2 limit 200""))"),1370.7820000000002)</f>
        <v>1370.782</v>
      </c>
      <c r="F139" s="46" t="str">
        <f t="shared" si="1"/>
        <v>In Bull Run</v>
      </c>
      <c r="G139" s="48">
        <f t="shared" si="2"/>
        <v>9.426590078</v>
      </c>
    </row>
    <row r="140">
      <c r="A140" s="52" t="s">
        <v>157</v>
      </c>
      <c r="B140" s="53">
        <f>IFERROR(__xludf.DUMMYFUNCTION("GOOGLEFINANCE(A140,""price"")"),117.04)</f>
        <v>117.04</v>
      </c>
      <c r="C140" s="54">
        <f>IFERROR(__xludf.DUMMYFUNCTION("AVERAGE(QUERY(SORT(GOOGLEFINANCE(A140,""price"",TODAY()-150,TODAY()),1,0),""select Col2 limit 50""))"),126.7332)</f>
        <v>126.7332</v>
      </c>
      <c r="D140" s="54">
        <f>IFERROR(__xludf.DUMMYFUNCTION("AVERAGE(QUERY(SORT(GOOGLEFINANCE(A140,""price"",TODAY()-300,TODAY()),1,0),""select Col2 limit 100""))"),133.31159999999997)</f>
        <v>133.3116</v>
      </c>
      <c r="E140" s="54">
        <f>IFERROR(__xludf.DUMMYFUNCTION("AVERAGE(QUERY(SORT(GOOGLEFINANCE(A140,""price"",TODAY()-500,TODAY()),1,0),""select Col2 limit 200""))"),135.75914999999992)</f>
        <v>135.75915</v>
      </c>
      <c r="F140" s="46" t="str">
        <f t="shared" si="1"/>
        <v>Unconfirmed</v>
      </c>
      <c r="G140" s="48">
        <f t="shared" si="2"/>
        <v>-13.78849971</v>
      </c>
    </row>
    <row r="141">
      <c r="A141" s="52" t="s">
        <v>158</v>
      </c>
      <c r="B141" s="53">
        <f>IFERROR(__xludf.DUMMYFUNCTION("GOOGLEFINANCE(A141,""price"")"),1474.0)</f>
        <v>1474</v>
      </c>
      <c r="C141" s="54">
        <f>IFERROR(__xludf.DUMMYFUNCTION("AVERAGE(QUERY(SORT(GOOGLEFINANCE(A141,""price"",TODAY()-150,TODAY()),1,0),""select Col2 limit 50""))"),1646.9459999999997)</f>
        <v>1646.946</v>
      </c>
      <c r="D141" s="54">
        <f>IFERROR(__xludf.DUMMYFUNCTION("AVERAGE(QUERY(SORT(GOOGLEFINANCE(A141,""price"",TODAY()-300,TODAY()),1,0),""select Col2 limit 100""))"),1719.188)</f>
        <v>1719.188</v>
      </c>
      <c r="E141" s="54">
        <f>IFERROR(__xludf.DUMMYFUNCTION("AVERAGE(QUERY(SORT(GOOGLEFINANCE(A141,""price"",TODAY()-500,TODAY()),1,0),""select Col2 limit 200""))"),1765.3555000000006)</f>
        <v>1765.3555</v>
      </c>
      <c r="F141" s="46" t="str">
        <f t="shared" si="1"/>
        <v>Unconfirmed</v>
      </c>
      <c r="G141" s="48">
        <f t="shared" si="2"/>
        <v>-16.50406958</v>
      </c>
    </row>
    <row r="142">
      <c r="A142" s="52" t="s">
        <v>159</v>
      </c>
      <c r="B142" s="53">
        <f>IFERROR(__xludf.DUMMYFUNCTION("GOOGLEFINANCE(A142,""price"")"),35430.0)</f>
        <v>35430</v>
      </c>
      <c r="C142" s="54">
        <f>IFERROR(__xludf.DUMMYFUNCTION("AVERAGE(QUERY(SORT(GOOGLEFINANCE(A142,""price"",TODAY()-150,TODAY()),1,0),""select Col2 limit 50""))"),36435.0)</f>
        <v>36435</v>
      </c>
      <c r="D142" s="54">
        <f>IFERROR(__xludf.DUMMYFUNCTION("AVERAGE(QUERY(SORT(GOOGLEFINANCE(A142,""price"",TODAY()-300,TODAY()),1,0),""select Col2 limit 100""))"),36916.5)</f>
        <v>36916.5</v>
      </c>
      <c r="E142" s="54">
        <f>IFERROR(__xludf.DUMMYFUNCTION("AVERAGE(QUERY(SORT(GOOGLEFINANCE(A142,""price"",TODAY()-500,TODAY()),1,0),""select Col2 limit 200""))"),36658.2)</f>
        <v>36658.2</v>
      </c>
      <c r="F142" s="46" t="str">
        <f t="shared" si="1"/>
        <v>Unconfirmed</v>
      </c>
      <c r="G142" s="48">
        <f t="shared" si="2"/>
        <v>-3.350410004</v>
      </c>
    </row>
    <row r="143">
      <c r="A143" s="52" t="s">
        <v>160</v>
      </c>
      <c r="B143" s="53">
        <f>IFERROR(__xludf.DUMMYFUNCTION("GOOGLEFINANCE(A143,""price"")"),425.45)</f>
        <v>425.45</v>
      </c>
      <c r="C143" s="54">
        <f>IFERROR(__xludf.DUMMYFUNCTION("AVERAGE(QUERY(SORT(GOOGLEFINANCE(A143,""price"",TODAY()-150,TODAY()),1,0),""select Col2 limit 50""))"),421.24)</f>
        <v>421.24</v>
      </c>
      <c r="D143" s="54">
        <f>IFERROR(__xludf.DUMMYFUNCTION("AVERAGE(QUERY(SORT(GOOGLEFINANCE(A143,""price"",TODAY()-300,TODAY()),1,0),""select Col2 limit 100""))"),402.03399999999993)</f>
        <v>402.034</v>
      </c>
      <c r="E143" s="54">
        <f>IFERROR(__xludf.DUMMYFUNCTION("AVERAGE(QUERY(SORT(GOOGLEFINANCE(A143,""price"",TODAY()-500,TODAY()),1,0),""select Col2 limit 200""))"),395.6187499999999)</f>
        <v>395.61875</v>
      </c>
      <c r="F143" s="46" t="str">
        <f t="shared" si="1"/>
        <v>In Bull Run</v>
      </c>
      <c r="G143" s="48">
        <f t="shared" si="2"/>
        <v>7.540403482</v>
      </c>
    </row>
    <row r="144">
      <c r="A144" s="52" t="s">
        <v>161</v>
      </c>
      <c r="B144" s="53">
        <f>IFERROR(__xludf.DUMMYFUNCTION("GOOGLEFINANCE(A144,""price"")"),2643.1)</f>
        <v>2643.1</v>
      </c>
      <c r="C144" s="54">
        <f>IFERROR(__xludf.DUMMYFUNCTION("AVERAGE(QUERY(SORT(GOOGLEFINANCE(A144,""price"",TODAY()-150,TODAY()),1,0),""select Col2 limit 50""))"),2653.1119999999996)</f>
        <v>2653.112</v>
      </c>
      <c r="D144" s="54">
        <f>IFERROR(__xludf.DUMMYFUNCTION("AVERAGE(QUERY(SORT(GOOGLEFINANCE(A144,""price"",TODAY()-300,TODAY()),1,0),""select Col2 limit 100""))"),2681.012)</f>
        <v>2681.012</v>
      </c>
      <c r="E144" s="54">
        <f>IFERROR(__xludf.DUMMYFUNCTION("AVERAGE(QUERY(SORT(GOOGLEFINANCE(A144,""price"",TODAY()-500,TODAY()),1,0),""select Col2 limit 200""))"),2679.1755)</f>
        <v>2679.1755</v>
      </c>
      <c r="F144" s="46" t="str">
        <f t="shared" si="1"/>
        <v>Unconfirmed</v>
      </c>
      <c r="G144" s="48">
        <f t="shared" si="2"/>
        <v>-1.346515001</v>
      </c>
    </row>
    <row r="145">
      <c r="A145" s="52" t="s">
        <v>162</v>
      </c>
      <c r="B145" s="53">
        <f>IFERROR(__xludf.DUMMYFUNCTION("GOOGLEFINANCE(A145,""price"")"),2770.0)</f>
        <v>2770</v>
      </c>
      <c r="C145" s="54">
        <f>IFERROR(__xludf.DUMMYFUNCTION("AVERAGE(QUERY(SORT(GOOGLEFINANCE(A145,""price"",TODAY()-150,TODAY()),1,0),""select Col2 limit 50""))"),2836.482)</f>
        <v>2836.482</v>
      </c>
      <c r="D145" s="54">
        <f>IFERROR(__xludf.DUMMYFUNCTION("AVERAGE(QUERY(SORT(GOOGLEFINANCE(A145,""price"",TODAY()-300,TODAY()),1,0),""select Col2 limit 100""))"),2816.2229999999995)</f>
        <v>2816.223</v>
      </c>
      <c r="E145" s="54">
        <f>IFERROR(__xludf.DUMMYFUNCTION("AVERAGE(QUERY(SORT(GOOGLEFINANCE(A145,""price"",TODAY()-500,TODAY()),1,0),""select Col2 limit 200""))"),2784.7640000000015)</f>
        <v>2784.764</v>
      </c>
      <c r="F145" s="46" t="str">
        <f t="shared" si="1"/>
        <v>Unconfirmed</v>
      </c>
      <c r="G145" s="48">
        <f t="shared" si="2"/>
        <v>-0.5301705997</v>
      </c>
    </row>
    <row r="146">
      <c r="A146" s="52" t="s">
        <v>163</v>
      </c>
      <c r="B146" s="53">
        <f>IFERROR(__xludf.DUMMYFUNCTION("GOOGLEFINANCE(A146,""price"")"),906.85)</f>
        <v>906.85</v>
      </c>
      <c r="C146" s="54">
        <f>IFERROR(__xludf.DUMMYFUNCTION("AVERAGE(QUERY(SORT(GOOGLEFINANCE(A146,""price"",TODAY()-150,TODAY()),1,0),""select Col2 limit 50""))"),957.6950000000002)</f>
        <v>957.695</v>
      </c>
      <c r="D146" s="54">
        <f>IFERROR(__xludf.DUMMYFUNCTION("AVERAGE(QUERY(SORT(GOOGLEFINANCE(A146,""price"",TODAY()-300,TODAY()),1,0),""select Col2 limit 100""))"),1002.1755000000003)</f>
        <v>1002.1755</v>
      </c>
      <c r="E146" s="54">
        <f>IFERROR(__xludf.DUMMYFUNCTION("AVERAGE(QUERY(SORT(GOOGLEFINANCE(A146,""price"",TODAY()-500,TODAY()),1,0),""select Col2 limit 200""))"),998.2480000000005)</f>
        <v>998.248</v>
      </c>
      <c r="F146" s="46" t="str">
        <f t="shared" si="1"/>
        <v>Unconfirmed</v>
      </c>
      <c r="G146" s="48">
        <f t="shared" si="2"/>
        <v>-9.155841033</v>
      </c>
    </row>
    <row r="147">
      <c r="A147" s="52" t="s">
        <v>164</v>
      </c>
      <c r="B147" s="53">
        <f>IFERROR(__xludf.DUMMYFUNCTION("GOOGLEFINANCE(A147,""price"")"),1176.9)</f>
        <v>1176.9</v>
      </c>
      <c r="C147" s="54">
        <f>IFERROR(__xludf.DUMMYFUNCTION("AVERAGE(QUERY(SORT(GOOGLEFINANCE(A147,""price"",TODAY()-150,TODAY()),1,0),""select Col2 limit 50""))"),1209.1399999999996)</f>
        <v>1209.14</v>
      </c>
      <c r="D147" s="54">
        <f>IFERROR(__xludf.DUMMYFUNCTION("AVERAGE(QUERY(SORT(GOOGLEFINANCE(A147,""price"",TODAY()-300,TODAY()),1,0),""select Col2 limit 100""))"),1172.253)</f>
        <v>1172.253</v>
      </c>
      <c r="E147" s="54">
        <f>IFERROR(__xludf.DUMMYFUNCTION("AVERAGE(QUERY(SORT(GOOGLEFINANCE(A147,""price"",TODAY()-500,TODAY()),1,0),""select Col2 limit 200""))"),1200.2239999999997)</f>
        <v>1200.224</v>
      </c>
      <c r="F147" s="46" t="str">
        <f t="shared" si="1"/>
        <v>Unconfirmed</v>
      </c>
      <c r="G147" s="48">
        <f t="shared" si="2"/>
        <v>-1.943303917</v>
      </c>
    </row>
    <row r="148">
      <c r="A148" s="52" t="s">
        <v>165</v>
      </c>
      <c r="B148" s="53">
        <f>IFERROR(__xludf.DUMMYFUNCTION("GOOGLEFINANCE(A148,""price"")"),1374.9)</f>
        <v>1374.9</v>
      </c>
      <c r="C148" s="54">
        <f>IFERROR(__xludf.DUMMYFUNCTION("AVERAGE(QUERY(SORT(GOOGLEFINANCE(A148,""price"",TODAY()-150,TODAY()),1,0),""select Col2 limit 50""))"),1525.392)</f>
        <v>1525.392</v>
      </c>
      <c r="D148" s="54">
        <f>IFERROR(__xludf.DUMMYFUNCTION("AVERAGE(QUERY(SORT(GOOGLEFINANCE(A148,""price"",TODAY()-300,TODAY()),1,0),""select Col2 limit 100""))"),1605.0379999999996)</f>
        <v>1605.038</v>
      </c>
      <c r="E148" s="54">
        <f>IFERROR(__xludf.DUMMYFUNCTION("AVERAGE(QUERY(SORT(GOOGLEFINANCE(A148,""price"",TODAY()-500,TODAY()),1,0),""select Col2 limit 200""))"),1607.594499999999)</f>
        <v>1607.5945</v>
      </c>
      <c r="F148" s="46" t="str">
        <f t="shared" si="1"/>
        <v>Unconfirmed</v>
      </c>
      <c r="G148" s="48">
        <f t="shared" si="2"/>
        <v>-14.47470118</v>
      </c>
    </row>
    <row r="149">
      <c r="A149" s="52" t="s">
        <v>166</v>
      </c>
      <c r="B149" s="53">
        <f>IFERROR(__xludf.DUMMYFUNCTION("GOOGLEFINANCE(A149,""price"")"),1212.0)</f>
        <v>1212</v>
      </c>
      <c r="C149" s="54">
        <f>IFERROR(__xludf.DUMMYFUNCTION("AVERAGE(QUERY(SORT(GOOGLEFINANCE(A149,""price"",TODAY()-150,TODAY()),1,0),""select Col2 limit 50""))"),1183.5339999999999)</f>
        <v>1183.534</v>
      </c>
      <c r="D149" s="54">
        <f>IFERROR(__xludf.DUMMYFUNCTION("AVERAGE(QUERY(SORT(GOOGLEFINANCE(A149,""price"",TODAY()-300,TODAY()),1,0),""select Col2 limit 100""))"),1173.451)</f>
        <v>1173.451</v>
      </c>
      <c r="E149" s="54">
        <f>IFERROR(__xludf.DUMMYFUNCTION("AVERAGE(QUERY(SORT(GOOGLEFINANCE(A149,""price"",TODAY()-500,TODAY()),1,0),""select Col2 limit 200""))"),1144.176)</f>
        <v>1144.176</v>
      </c>
      <c r="F149" s="46" t="str">
        <f t="shared" si="1"/>
        <v>In Bull Run</v>
      </c>
      <c r="G149" s="48">
        <f t="shared" si="2"/>
        <v>5.927759366</v>
      </c>
    </row>
    <row r="150">
      <c r="A150" s="52" t="s">
        <v>167</v>
      </c>
      <c r="B150" s="53">
        <f>IFERROR(__xludf.DUMMYFUNCTION("GOOGLEFINANCE(A150,""price"")"),1588.1)</f>
        <v>1588.1</v>
      </c>
      <c r="C150" s="54">
        <f>IFERROR(__xludf.DUMMYFUNCTION("AVERAGE(QUERY(SORT(GOOGLEFINANCE(A150,""price"",TODAY()-150,TODAY()),1,0),""select Col2 limit 50""))"),1692.2999999999997)</f>
        <v>1692.3</v>
      </c>
      <c r="D150" s="54">
        <f>IFERROR(__xludf.DUMMYFUNCTION("AVERAGE(QUERY(SORT(GOOGLEFINANCE(A150,""price"",TODAY()-300,TODAY()),1,0),""select Col2 limit 100""))"),1735.8009999999992)</f>
        <v>1735.801</v>
      </c>
      <c r="E150" s="54">
        <f>IFERROR(__xludf.DUMMYFUNCTION("AVERAGE(QUERY(SORT(GOOGLEFINANCE(A150,""price"",TODAY()-500,TODAY()),1,0),""select Col2 limit 200""))"),1756.4115)</f>
        <v>1756.4115</v>
      </c>
      <c r="F150" s="46" t="str">
        <f t="shared" si="1"/>
        <v>In Bear Run</v>
      </c>
      <c r="G150" s="48">
        <f t="shared" si="2"/>
        <v>-9.582691755</v>
      </c>
    </row>
    <row r="151">
      <c r="A151" s="52" t="s">
        <v>168</v>
      </c>
      <c r="B151" s="53">
        <f>IFERROR(__xludf.DUMMYFUNCTION("GOOGLEFINANCE(A151,""price"")"),5582.5)</f>
        <v>5582.5</v>
      </c>
      <c r="C151" s="54">
        <f>IFERROR(__xludf.DUMMYFUNCTION("AVERAGE(QUERY(SORT(GOOGLEFINANCE(A151,""price"",TODAY()-150,TODAY()),1,0),""select Col2 limit 50""))"),5642.4)</f>
        <v>5642.4</v>
      </c>
      <c r="D151" s="54">
        <f>IFERROR(__xludf.DUMMYFUNCTION("AVERAGE(QUERY(SORT(GOOGLEFINANCE(A151,""price"",TODAY()-300,TODAY()),1,0),""select Col2 limit 100""))"),5628.505)</f>
        <v>5628.505</v>
      </c>
      <c r="E151" s="54">
        <f>IFERROR(__xludf.DUMMYFUNCTION("AVERAGE(QUERY(SORT(GOOGLEFINANCE(A151,""price"",TODAY()-500,TODAY()),1,0),""select Col2 limit 200""))"),5378.974499999999)</f>
        <v>5378.9745</v>
      </c>
      <c r="F151" s="46" t="str">
        <f t="shared" si="1"/>
        <v>Unconfirmed</v>
      </c>
      <c r="G151" s="48">
        <f t="shared" si="2"/>
        <v>3.783723087</v>
      </c>
    </row>
    <row r="152">
      <c r="A152" s="52" t="s">
        <v>169</v>
      </c>
      <c r="B152" s="53">
        <f>IFERROR(__xludf.DUMMYFUNCTION("GOOGLEFINANCE(A152,""price"")"),443.8)</f>
        <v>443.8</v>
      </c>
      <c r="C152" s="54">
        <f>IFERROR(__xludf.DUMMYFUNCTION("AVERAGE(QUERY(SORT(GOOGLEFINANCE(A152,""price"",TODAY()-150,TODAY()),1,0),""select Col2 limit 50""))"),495.33899999999994)</f>
        <v>495.339</v>
      </c>
      <c r="D152" s="54">
        <f>IFERROR(__xludf.DUMMYFUNCTION("AVERAGE(QUERY(SORT(GOOGLEFINANCE(A152,""price"",TODAY()-300,TODAY()),1,0),""select Col2 limit 100""))"),503.01199999999994)</f>
        <v>503.012</v>
      </c>
      <c r="E152" s="54">
        <f>IFERROR(__xludf.DUMMYFUNCTION("AVERAGE(QUERY(SORT(GOOGLEFINANCE(A152,""price"",TODAY()-500,TODAY()),1,0),""select Col2 limit 200""))"),484.156)</f>
        <v>484.156</v>
      </c>
      <c r="F152" s="46" t="str">
        <f t="shared" si="1"/>
        <v>Unconfirmed</v>
      </c>
      <c r="G152" s="48">
        <f t="shared" si="2"/>
        <v>-8.335329935</v>
      </c>
    </row>
    <row r="153">
      <c r="A153" s="52" t="s">
        <v>170</v>
      </c>
      <c r="B153" s="53">
        <f>IFERROR(__xludf.DUMMYFUNCTION("GOOGLEFINANCE(A153,""price"")"),454.15)</f>
        <v>454.15</v>
      </c>
      <c r="C153" s="54">
        <f>IFERROR(__xludf.DUMMYFUNCTION("AVERAGE(QUERY(SORT(GOOGLEFINANCE(A153,""price"",TODAY()-150,TODAY()),1,0),""select Col2 limit 50""))"),423.0630000000001)</f>
        <v>423.063</v>
      </c>
      <c r="D153" s="54">
        <f>IFERROR(__xludf.DUMMYFUNCTION("AVERAGE(QUERY(SORT(GOOGLEFINANCE(A153,""price"",TODAY()-300,TODAY()),1,0),""select Col2 limit 100""))"),416.7225000000002)</f>
        <v>416.7225</v>
      </c>
      <c r="E153" s="54">
        <f>IFERROR(__xludf.DUMMYFUNCTION("AVERAGE(QUERY(SORT(GOOGLEFINANCE(A153,""price"",TODAY()-500,TODAY()),1,0),""select Col2 limit 200""))"),405.20899999999995)</f>
        <v>405.209</v>
      </c>
      <c r="F153" s="46" t="str">
        <f t="shared" si="1"/>
        <v>Unconfirmed</v>
      </c>
      <c r="G153" s="48">
        <f t="shared" si="2"/>
        <v>12.0779647</v>
      </c>
    </row>
    <row r="154">
      <c r="A154" s="52" t="s">
        <v>171</v>
      </c>
      <c r="B154" s="53">
        <f>IFERROR(__xludf.DUMMYFUNCTION("GOOGLEFINANCE(A154,""price"")"),2268.0)</f>
        <v>2268</v>
      </c>
      <c r="C154" s="54">
        <f>IFERROR(__xludf.DUMMYFUNCTION("AVERAGE(QUERY(SORT(GOOGLEFINANCE(A154,""price"",TODAY()-150,TODAY()),1,0),""select Col2 limit 50""))"),2682.6919999999996)</f>
        <v>2682.692</v>
      </c>
      <c r="D154" s="54">
        <f>IFERROR(__xludf.DUMMYFUNCTION("AVERAGE(QUERY(SORT(GOOGLEFINANCE(A154,""price"",TODAY()-300,TODAY()),1,0),""select Col2 limit 100""))"),2744.6450000000004)</f>
        <v>2744.645</v>
      </c>
      <c r="E154" s="54">
        <f>IFERROR(__xludf.DUMMYFUNCTION("AVERAGE(QUERY(SORT(GOOGLEFINANCE(A154,""price"",TODAY()-500,TODAY()),1,0),""select Col2 limit 200""))"),2746.159500000001)</f>
        <v>2746.1595</v>
      </c>
      <c r="F154" s="46" t="str">
        <f t="shared" si="1"/>
        <v>Unconfirmed</v>
      </c>
      <c r="G154" s="48">
        <f t="shared" si="2"/>
        <v>-17.41193474</v>
      </c>
    </row>
    <row r="155">
      <c r="A155" s="52" t="s">
        <v>172</v>
      </c>
      <c r="B155" s="53">
        <f>IFERROR(__xludf.DUMMYFUNCTION("GOOGLEFINANCE(A155,""price"")"),10688.0)</f>
        <v>10688</v>
      </c>
      <c r="C155" s="54">
        <f>IFERROR(__xludf.DUMMYFUNCTION("AVERAGE(QUERY(SORT(GOOGLEFINANCE(A155,""price"",TODAY()-150,TODAY()),1,0),""select Col2 limit 50""))"),8804.87)</f>
        <v>8804.87</v>
      </c>
      <c r="D155" s="54">
        <f>IFERROR(__xludf.DUMMYFUNCTION("AVERAGE(QUERY(SORT(GOOGLEFINANCE(A155,""price"",TODAY()-300,TODAY()),1,0),""select Col2 limit 100""))"),8813.085)</f>
        <v>8813.085</v>
      </c>
      <c r="E155" s="54">
        <f>IFERROR(__xludf.DUMMYFUNCTION("AVERAGE(QUERY(SORT(GOOGLEFINANCE(A155,""price"",TODAY()-500,TODAY()),1,0),""select Col2 limit 200""))"),8583.9525)</f>
        <v>8583.9525</v>
      </c>
      <c r="F155" s="46" t="str">
        <f t="shared" si="1"/>
        <v>Unconfirmed</v>
      </c>
      <c r="G155" s="48">
        <f t="shared" si="2"/>
        <v>24.5114066</v>
      </c>
    </row>
    <row r="156">
      <c r="A156" s="52" t="s">
        <v>173</v>
      </c>
      <c r="B156" s="53">
        <f>IFERROR(__xludf.DUMMYFUNCTION("GOOGLEFINANCE(A156,""price"")"),1370.8)</f>
        <v>1370.8</v>
      </c>
      <c r="C156" s="54">
        <f>IFERROR(__xludf.DUMMYFUNCTION("AVERAGE(QUERY(SORT(GOOGLEFINANCE(A156,""price"",TODAY()-150,TODAY()),1,0),""select Col2 limit 50""))"),1596.085999999999)</f>
        <v>1596.086</v>
      </c>
      <c r="D156" s="54">
        <f>IFERROR(__xludf.DUMMYFUNCTION("AVERAGE(QUERY(SORT(GOOGLEFINANCE(A156,""price"",TODAY()-300,TODAY()),1,0),""select Col2 limit 100""))"),1587.0739999999994)</f>
        <v>1587.074</v>
      </c>
      <c r="E156" s="54">
        <f>IFERROR(__xludf.DUMMYFUNCTION("AVERAGE(QUERY(SORT(GOOGLEFINANCE(A156,""price"",TODAY()-500,TODAY()),1,0),""select Col2 limit 200""))"),1573.757499999999)</f>
        <v>1573.7575</v>
      </c>
      <c r="F156" s="46" t="str">
        <f t="shared" si="1"/>
        <v>Unconfirmed</v>
      </c>
      <c r="G156" s="48">
        <f t="shared" si="2"/>
        <v>-12.89636427</v>
      </c>
    </row>
    <row r="157">
      <c r="A157" s="52" t="s">
        <v>174</v>
      </c>
      <c r="B157" s="53">
        <f>IFERROR(__xludf.DUMMYFUNCTION("GOOGLEFINANCE(A157,""price"")"),411.2)</f>
        <v>411.2</v>
      </c>
      <c r="C157" s="54">
        <f>IFERROR(__xludf.DUMMYFUNCTION("AVERAGE(QUERY(SORT(GOOGLEFINANCE(A157,""price"",TODAY()-150,TODAY()),1,0),""select Col2 limit 50""))"),424.6698000000002)</f>
        <v>424.6698</v>
      </c>
      <c r="D157" s="54">
        <f>IFERROR(__xludf.DUMMYFUNCTION("AVERAGE(QUERY(SORT(GOOGLEFINANCE(A157,""price"",TODAY()-300,TODAY()),1,0),""select Col2 limit 100""))"),425.77550000000025)</f>
        <v>425.7755</v>
      </c>
      <c r="E157" s="54">
        <f>IFERROR(__xludf.DUMMYFUNCTION("AVERAGE(QUERY(SORT(GOOGLEFINANCE(A157,""price"",TODAY()-500,TODAY()),1,0),""select Col2 limit 200""))"),419.8148500000002)</f>
        <v>419.81485</v>
      </c>
      <c r="F157" s="46" t="str">
        <f t="shared" si="1"/>
        <v>Unconfirmed</v>
      </c>
      <c r="G157" s="48">
        <f t="shared" si="2"/>
        <v>-2.052059378</v>
      </c>
    </row>
    <row r="158">
      <c r="A158" s="52" t="s">
        <v>175</v>
      </c>
      <c r="B158" s="53">
        <f>IFERROR(__xludf.DUMMYFUNCTION("GOOGLEFINANCE(A158,""price"")"),20.24)</f>
        <v>20.24</v>
      </c>
      <c r="C158" s="54">
        <f>IFERROR(__xludf.DUMMYFUNCTION("AVERAGE(QUERY(SORT(GOOGLEFINANCE(A158,""price"",TODAY()-150,TODAY()),1,0),""select Col2 limit 50""))"),21.626800000000006)</f>
        <v>21.6268</v>
      </c>
      <c r="D158" s="54">
        <f>IFERROR(__xludf.DUMMYFUNCTION("AVERAGE(QUERY(SORT(GOOGLEFINANCE(A158,""price"",TODAY()-300,TODAY()),1,0),""select Col2 limit 100""))"),22.11550000000002)</f>
        <v>22.1155</v>
      </c>
      <c r="E158" s="54">
        <f>IFERROR(__xludf.DUMMYFUNCTION("AVERAGE(QUERY(SORT(GOOGLEFINANCE(A158,""price"",TODAY()-500,TODAY()),1,0),""select Col2 limit 200""))"),21.182950000000005)</f>
        <v>21.18295</v>
      </c>
      <c r="F158" s="46" t="str">
        <f t="shared" si="1"/>
        <v>Unconfirmed</v>
      </c>
      <c r="G158" s="48">
        <f t="shared" si="2"/>
        <v>-4.451457422</v>
      </c>
    </row>
    <row r="159">
      <c r="A159" s="52" t="s">
        <v>176</v>
      </c>
      <c r="B159" s="53">
        <f>IFERROR(__xludf.DUMMYFUNCTION("GOOGLEFINANCE(A159,""price"")"),2317.0)</f>
        <v>2317</v>
      </c>
      <c r="C159" s="54">
        <f>IFERROR(__xludf.DUMMYFUNCTION("AVERAGE(QUERY(SORT(GOOGLEFINANCE(A159,""price"",TODAY()-150,TODAY()),1,0),""select Col2 limit 50""))"),2177.6119999999996)</f>
        <v>2177.612</v>
      </c>
      <c r="D159" s="54">
        <f>IFERROR(__xludf.DUMMYFUNCTION("AVERAGE(QUERY(SORT(GOOGLEFINANCE(A159,""price"",TODAY()-300,TODAY()),1,0),""select Col2 limit 100""))"),2094.070999999999)</f>
        <v>2094.071</v>
      </c>
      <c r="E159" s="54">
        <f>IFERROR(__xludf.DUMMYFUNCTION("AVERAGE(QUERY(SORT(GOOGLEFINANCE(A159,""price"",TODAY()-500,TODAY()),1,0),""select Col2 limit 200""))"),2026.6184999999987)</f>
        <v>2026.6185</v>
      </c>
      <c r="F159" s="46" t="str">
        <f t="shared" si="1"/>
        <v>Unconfirmed</v>
      </c>
      <c r="G159" s="48">
        <f t="shared" si="2"/>
        <v>14.32837507</v>
      </c>
    </row>
    <row r="160">
      <c r="A160" s="52" t="s">
        <v>177</v>
      </c>
      <c r="B160" s="53">
        <f>IFERROR(__xludf.DUMMYFUNCTION("GOOGLEFINANCE(A160,""price"")"),253.0)</f>
        <v>253</v>
      </c>
      <c r="C160" s="54">
        <f>IFERROR(__xludf.DUMMYFUNCTION("AVERAGE(QUERY(SORT(GOOGLEFINANCE(A160,""price"",TODAY()-150,TODAY()),1,0),""select Col2 limit 50""))"),256.71)</f>
        <v>256.71</v>
      </c>
      <c r="D160" s="54">
        <f>IFERROR(__xludf.DUMMYFUNCTION("AVERAGE(QUERY(SORT(GOOGLEFINANCE(A160,""price"",TODAY()-300,TODAY()),1,0),""select Col2 limit 100""))"),255.59870000000006)</f>
        <v>255.5987</v>
      </c>
      <c r="E160" s="54">
        <f>IFERROR(__xludf.DUMMYFUNCTION("AVERAGE(QUERY(SORT(GOOGLEFINANCE(A160,""price"",TODAY()-500,TODAY()),1,0),""select Col2 limit 200""))"),248.2073999999999)</f>
        <v>248.2074</v>
      </c>
      <c r="F160" s="46" t="str">
        <f t="shared" si="1"/>
        <v>Unconfirmed</v>
      </c>
      <c r="G160" s="48">
        <f t="shared" si="2"/>
        <v>1.930885219</v>
      </c>
    </row>
    <row r="161">
      <c r="A161" s="52" t="s">
        <v>178</v>
      </c>
      <c r="B161" s="53">
        <f>IFERROR(__xludf.DUMMYFUNCTION("GOOGLEFINANCE(A161,""price"")"),198.75)</f>
        <v>198.75</v>
      </c>
      <c r="C161" s="54">
        <f>IFERROR(__xludf.DUMMYFUNCTION("AVERAGE(QUERY(SORT(GOOGLEFINANCE(A161,""price"",TODAY()-150,TODAY()),1,0),""select Col2 limit 50""))"),240.87439999999995)</f>
        <v>240.8744</v>
      </c>
      <c r="D161" s="54">
        <f>IFERROR(__xludf.DUMMYFUNCTION("AVERAGE(QUERY(SORT(GOOGLEFINANCE(A161,""price"",TODAY()-300,TODAY()),1,0),""select Col2 limit 100""))"),244.32199999999997)</f>
        <v>244.322</v>
      </c>
      <c r="E161" s="54">
        <f>IFERROR(__xludf.DUMMYFUNCTION("AVERAGE(QUERY(SORT(GOOGLEFINANCE(A161,""price"",TODAY()-500,TODAY()),1,0),""select Col2 limit 200""))"),248.70620000000017)</f>
        <v>248.7062</v>
      </c>
      <c r="F161" s="46" t="str">
        <f t="shared" si="1"/>
        <v>Unconfirmed</v>
      </c>
      <c r="G161" s="48">
        <f t="shared" si="2"/>
        <v>-20.0864313</v>
      </c>
    </row>
    <row r="162">
      <c r="A162" s="52" t="s">
        <v>179</v>
      </c>
      <c r="B162" s="53">
        <f>IFERROR(__xludf.DUMMYFUNCTION("GOOGLEFINANCE(A162,""price"")"),139430.0)</f>
        <v>139430</v>
      </c>
      <c r="C162" s="54">
        <f>IFERROR(__xludf.DUMMYFUNCTION("AVERAGE(QUERY(SORT(GOOGLEFINANCE(A162,""price"",TODAY()-150,TODAY()),1,0),""select Col2 limit 50""))"),145692.7)</f>
        <v>145692.7</v>
      </c>
      <c r="D162" s="54">
        <f>IFERROR(__xludf.DUMMYFUNCTION("AVERAGE(QUERY(SORT(GOOGLEFINANCE(A162,""price"",TODAY()-300,TODAY()),1,0),""select Col2 limit 100""))"),150756.85)</f>
        <v>150756.85</v>
      </c>
      <c r="E162" s="54">
        <f>IFERROR(__xludf.DUMMYFUNCTION("AVERAGE(QUERY(SORT(GOOGLEFINANCE(A162,""price"",TODAY()-500,TODAY()),1,0),""select Col2 limit 200""))"),147751.675)</f>
        <v>147751.675</v>
      </c>
      <c r="F162" s="46" t="str">
        <f t="shared" si="1"/>
        <v>Unconfirmed</v>
      </c>
      <c r="G162" s="48">
        <f t="shared" si="2"/>
        <v>-5.632203493</v>
      </c>
    </row>
    <row r="163">
      <c r="A163" s="52" t="s">
        <v>180</v>
      </c>
      <c r="B163" s="53">
        <f>IFERROR(__xludf.DUMMYFUNCTION("GOOGLEFINANCE(A163,""price"")"),928.7)</f>
        <v>928.7</v>
      </c>
      <c r="C163" s="54">
        <f>IFERROR(__xludf.DUMMYFUNCTION("AVERAGE(QUERY(SORT(GOOGLEFINANCE(A163,""price"",TODAY()-150,TODAY()),1,0),""select Col2 limit 50""))"),894.5120000000002)</f>
        <v>894.512</v>
      </c>
      <c r="D163" s="54">
        <f>IFERROR(__xludf.DUMMYFUNCTION("AVERAGE(QUERY(SORT(GOOGLEFINANCE(A163,""price"",TODAY()-300,TODAY()),1,0),""select Col2 limit 100""))"),935.133)</f>
        <v>935.133</v>
      </c>
      <c r="E163" s="54">
        <f>IFERROR(__xludf.DUMMYFUNCTION("AVERAGE(QUERY(SORT(GOOGLEFINANCE(A163,""price"",TODAY()-500,TODAY()),1,0),""select Col2 limit 200""))"),889.7134999999992)</f>
        <v>889.7135</v>
      </c>
      <c r="F163" s="46" t="str">
        <f t="shared" si="1"/>
        <v>Unconfirmed</v>
      </c>
      <c r="G163" s="48">
        <f t="shared" si="2"/>
        <v>4.381916201</v>
      </c>
    </row>
    <row r="164">
      <c r="A164" s="52" t="s">
        <v>181</v>
      </c>
      <c r="B164" s="53">
        <f>IFERROR(__xludf.DUMMYFUNCTION("GOOGLEFINANCE(A164,""price"")"),780.35)</f>
        <v>780.35</v>
      </c>
      <c r="C164" s="54">
        <f>IFERROR(__xludf.DUMMYFUNCTION("AVERAGE(QUERY(SORT(GOOGLEFINANCE(A164,""price"",TODAY()-150,TODAY()),1,0),""select Col2 limit 50""))"),759.2679999999997)</f>
        <v>759.268</v>
      </c>
      <c r="D164" s="54">
        <f>IFERROR(__xludf.DUMMYFUNCTION("AVERAGE(QUERY(SORT(GOOGLEFINANCE(A164,""price"",TODAY()-300,TODAY()),1,0),""select Col2 limit 100""))"),742.337)</f>
        <v>742.337</v>
      </c>
      <c r="E164" s="54">
        <f>IFERROR(__xludf.DUMMYFUNCTION("AVERAGE(QUERY(SORT(GOOGLEFINANCE(A164,""price"",TODAY()-500,TODAY()),1,0),""select Col2 limit 200""))"),728.65125)</f>
        <v>728.65125</v>
      </c>
      <c r="F164" s="46" t="str">
        <f t="shared" si="1"/>
        <v>In Bull Run</v>
      </c>
      <c r="G164" s="48">
        <f t="shared" si="2"/>
        <v>7.095129529</v>
      </c>
    </row>
    <row r="165">
      <c r="A165" s="52" t="s">
        <v>182</v>
      </c>
      <c r="B165" s="53">
        <f>IFERROR(__xludf.DUMMYFUNCTION("GOOGLEFINANCE(A165,""price"")"),1124.5)</f>
        <v>1124.5</v>
      </c>
      <c r="C165" s="54">
        <f>IFERROR(__xludf.DUMMYFUNCTION("AVERAGE(QUERY(SORT(GOOGLEFINANCE(A165,""price"",TODAY()-150,TODAY()),1,0),""select Col2 limit 50""))"),1167.028)</f>
        <v>1167.028</v>
      </c>
      <c r="D165" s="54">
        <f>IFERROR(__xludf.DUMMYFUNCTION("AVERAGE(QUERY(SORT(GOOGLEFINANCE(A165,""price"",TODAY()-300,TODAY()),1,0),""select Col2 limit 100""))"),1162.9379999999999)</f>
        <v>1162.938</v>
      </c>
      <c r="E165" s="54">
        <f>IFERROR(__xludf.DUMMYFUNCTION("AVERAGE(QUERY(SORT(GOOGLEFINANCE(A165,""price"",TODAY()-500,TODAY()),1,0),""select Col2 limit 200""))"),1130.7099999999991)</f>
        <v>1130.71</v>
      </c>
      <c r="F165" s="46" t="str">
        <f t="shared" si="1"/>
        <v>Unconfirmed</v>
      </c>
      <c r="G165" s="48">
        <f t="shared" si="2"/>
        <v>-0.5492124417</v>
      </c>
    </row>
    <row r="166">
      <c r="A166" s="52" t="s">
        <v>183</v>
      </c>
      <c r="B166" s="53">
        <f>IFERROR(__xludf.DUMMYFUNCTION("GOOGLEFINANCE(A166,""price"")"),1344.5)</f>
        <v>1344.5</v>
      </c>
      <c r="C166" s="54">
        <f>IFERROR(__xludf.DUMMYFUNCTION("AVERAGE(QUERY(SORT(GOOGLEFINANCE(A166,""price"",TODAY()-150,TODAY()),1,0),""select Col2 limit 50""))"),1594.3)</f>
        <v>1594.3</v>
      </c>
      <c r="D166" s="54">
        <f>IFERROR(__xludf.DUMMYFUNCTION("AVERAGE(QUERY(SORT(GOOGLEFINANCE(A166,""price"",TODAY()-300,TODAY()),1,0),""select Col2 limit 100""))"),1537.2569999999998)</f>
        <v>1537.257</v>
      </c>
      <c r="E166" s="54">
        <f>IFERROR(__xludf.DUMMYFUNCTION("AVERAGE(QUERY(SORT(GOOGLEFINANCE(A166,""price"",TODAY()-500,TODAY()),1,0),""select Col2 limit 200""))"),1544.2259999999997)</f>
        <v>1544.226</v>
      </c>
      <c r="F166" s="46" t="str">
        <f t="shared" si="1"/>
        <v>Unconfirmed</v>
      </c>
      <c r="G166" s="48">
        <f t="shared" si="2"/>
        <v>-12.93372861</v>
      </c>
    </row>
    <row r="167">
      <c r="A167" s="52" t="s">
        <v>184</v>
      </c>
      <c r="B167" s="53">
        <f>IFERROR(__xludf.DUMMYFUNCTION("GOOGLEFINANCE(A167,""price"")"),1288.9)</f>
        <v>1288.9</v>
      </c>
      <c r="C167" s="54">
        <f>IFERROR(__xludf.DUMMYFUNCTION("AVERAGE(QUERY(SORT(GOOGLEFINANCE(A167,""price"",TODAY()-150,TODAY()),1,0),""select Col2 limit 50""))"),1546.7480000000005)</f>
        <v>1546.748</v>
      </c>
      <c r="D167" s="54">
        <f>IFERROR(__xludf.DUMMYFUNCTION("AVERAGE(QUERY(SORT(GOOGLEFINANCE(A167,""price"",TODAY()-300,TODAY()),1,0),""select Col2 limit 100""))"),1537.902)</f>
        <v>1537.902</v>
      </c>
      <c r="E167" s="54">
        <f>IFERROR(__xludf.DUMMYFUNCTION("AVERAGE(QUERY(SORT(GOOGLEFINANCE(A167,""price"",TODAY()-500,TODAY()),1,0),""select Col2 limit 200""))"),1537.864)</f>
        <v>1537.864</v>
      </c>
      <c r="F167" s="46" t="str">
        <f t="shared" si="1"/>
        <v>Unconfirmed</v>
      </c>
      <c r="G167" s="48">
        <f t="shared" si="2"/>
        <v>-16.18894779</v>
      </c>
    </row>
    <row r="168">
      <c r="A168" s="52" t="s">
        <v>185</v>
      </c>
      <c r="B168" s="53">
        <f>IFERROR(__xludf.DUMMYFUNCTION("GOOGLEFINANCE(A168,""price"")"),5977.0)</f>
        <v>5977</v>
      </c>
      <c r="C168" s="54">
        <f>IFERROR(__xludf.DUMMYFUNCTION("AVERAGE(QUERY(SORT(GOOGLEFINANCE(A168,""price"",TODAY()-150,TODAY()),1,0),""select Col2 limit 50""))"),5989.72)</f>
        <v>5989.72</v>
      </c>
      <c r="D168" s="54">
        <f>IFERROR(__xludf.DUMMYFUNCTION("AVERAGE(QUERY(SORT(GOOGLEFINANCE(A168,""price"",TODAY()-300,TODAY()),1,0),""select Col2 limit 100""))"),5949.615)</f>
        <v>5949.615</v>
      </c>
      <c r="E168" s="54">
        <f>IFERROR(__xludf.DUMMYFUNCTION("AVERAGE(QUERY(SORT(GOOGLEFINANCE(A168,""price"",TODAY()-500,TODAY()),1,0),""select Col2 limit 200""))"),5841.07)</f>
        <v>5841.07</v>
      </c>
      <c r="F168" s="46" t="str">
        <f t="shared" si="1"/>
        <v>Unconfirmed</v>
      </c>
      <c r="G168" s="48">
        <f t="shared" si="2"/>
        <v>2.327142116</v>
      </c>
    </row>
    <row r="169">
      <c r="A169" s="52" t="s">
        <v>186</v>
      </c>
      <c r="B169" s="53">
        <f>IFERROR(__xludf.DUMMYFUNCTION("GOOGLEFINANCE(A169,""price"")"),1545.8)</f>
        <v>1545.8</v>
      </c>
      <c r="C169" s="54">
        <f>IFERROR(__xludf.DUMMYFUNCTION("AVERAGE(QUERY(SORT(GOOGLEFINANCE(A169,""price"",TODAY()-150,TODAY()),1,0),""select Col2 limit 50""))"),1684.5739999999996)</f>
        <v>1684.574</v>
      </c>
      <c r="D169" s="54">
        <f>IFERROR(__xludf.DUMMYFUNCTION("AVERAGE(QUERY(SORT(GOOGLEFINANCE(A169,""price"",TODAY()-300,TODAY()),1,0),""select Col2 limit 100""))"),1769.5679999999993)</f>
        <v>1769.568</v>
      </c>
      <c r="E169" s="54">
        <f>IFERROR(__xludf.DUMMYFUNCTION("AVERAGE(QUERY(SORT(GOOGLEFINANCE(A169,""price"",TODAY()-500,TODAY()),1,0),""select Col2 limit 200""))"),1720.7929999999992)</f>
        <v>1720.793</v>
      </c>
      <c r="F169" s="46" t="str">
        <f t="shared" si="1"/>
        <v>Unconfirmed</v>
      </c>
      <c r="G169" s="48">
        <f t="shared" si="2"/>
        <v>-10.1693231</v>
      </c>
    </row>
    <row r="170">
      <c r="A170" s="52" t="s">
        <v>187</v>
      </c>
      <c r="B170" s="53">
        <f>IFERROR(__xludf.DUMMYFUNCTION("GOOGLEFINANCE(A170,""price"")"),2148.0)</f>
        <v>2148</v>
      </c>
      <c r="C170" s="54">
        <f>IFERROR(__xludf.DUMMYFUNCTION("AVERAGE(QUERY(SORT(GOOGLEFINANCE(A170,""price"",TODAY()-150,TODAY()),1,0),""select Col2 limit 50""))"),2248.422)</f>
        <v>2248.422</v>
      </c>
      <c r="D170" s="54">
        <f>IFERROR(__xludf.DUMMYFUNCTION("AVERAGE(QUERY(SORT(GOOGLEFINANCE(A170,""price"",TODAY()-300,TODAY()),1,0),""select Col2 limit 100""))"),2301.4110000000005)</f>
        <v>2301.411</v>
      </c>
      <c r="E170" s="54">
        <f>IFERROR(__xludf.DUMMYFUNCTION("AVERAGE(QUERY(SORT(GOOGLEFINANCE(A170,""price"",TODAY()-500,TODAY()),1,0),""select Col2 limit 200""))"),2257.0675)</f>
        <v>2257.0675</v>
      </c>
      <c r="F170" s="46" t="str">
        <f t="shared" si="1"/>
        <v>Unconfirmed</v>
      </c>
      <c r="G170" s="48">
        <f t="shared" si="2"/>
        <v>-4.832265761</v>
      </c>
    </row>
    <row r="171">
      <c r="A171" s="52" t="s">
        <v>188</v>
      </c>
      <c r="B171" s="53">
        <f>IFERROR(__xludf.DUMMYFUNCTION("GOOGLEFINANCE(A171,""price"")"),1468.9)</f>
        <v>1468.9</v>
      </c>
      <c r="C171" s="54">
        <f>IFERROR(__xludf.DUMMYFUNCTION("AVERAGE(QUERY(SORT(GOOGLEFINANCE(A171,""price"",TODAY()-150,TODAY()),1,0),""select Col2 limit 50""))"),1481.276)</f>
        <v>1481.276</v>
      </c>
      <c r="D171" s="54">
        <f>IFERROR(__xludf.DUMMYFUNCTION("AVERAGE(QUERY(SORT(GOOGLEFINANCE(A171,""price"",TODAY()-300,TODAY()),1,0),""select Col2 limit 100""))"),1476.9789999999996)</f>
        <v>1476.979</v>
      </c>
      <c r="E171" s="54">
        <f>IFERROR(__xludf.DUMMYFUNCTION("AVERAGE(QUERY(SORT(GOOGLEFINANCE(A171,""price"",TODAY()-500,TODAY()),1,0),""select Col2 limit 200""))"),1437.0140000000001)</f>
        <v>1437.014</v>
      </c>
      <c r="F171" s="46" t="str">
        <f t="shared" si="1"/>
        <v>Unconfirmed</v>
      </c>
      <c r="G171" s="48">
        <f t="shared" si="2"/>
        <v>2.218906705</v>
      </c>
    </row>
    <row r="172">
      <c r="A172" s="52" t="s">
        <v>189</v>
      </c>
      <c r="B172" s="53">
        <f>IFERROR(__xludf.DUMMYFUNCTION("GOOGLEFINANCE(A172,""price"")"),389.7)</f>
        <v>389.7</v>
      </c>
      <c r="C172" s="54">
        <f>IFERROR(__xludf.DUMMYFUNCTION("AVERAGE(QUERY(SORT(GOOGLEFINANCE(A172,""price"",TODAY()-150,TODAY()),1,0),""select Col2 limit 50""))"),381.0349999999999)</f>
        <v>381.035</v>
      </c>
      <c r="D172" s="54">
        <f>IFERROR(__xludf.DUMMYFUNCTION("AVERAGE(QUERY(SORT(GOOGLEFINANCE(A172,""price"",TODAY()-300,TODAY()),1,0),""select Col2 limit 100""))"),381.423)</f>
        <v>381.423</v>
      </c>
      <c r="E172" s="54">
        <f>IFERROR(__xludf.DUMMYFUNCTION("AVERAGE(QUERY(SORT(GOOGLEFINANCE(A172,""price"",TODAY()-500,TODAY()),1,0),""select Col2 limit 200""))"),370.3614999999999)</f>
        <v>370.3615</v>
      </c>
      <c r="F172" s="46" t="str">
        <f t="shared" si="1"/>
        <v>Unconfirmed</v>
      </c>
      <c r="G172" s="48">
        <f t="shared" si="2"/>
        <v>5.221520055</v>
      </c>
    </row>
    <row r="173">
      <c r="A173" s="52" t="s">
        <v>190</v>
      </c>
      <c r="B173" s="53">
        <f>IFERROR(__xludf.DUMMYFUNCTION("GOOGLEFINANCE(A173,""price"")"),1277.0)</f>
        <v>1277</v>
      </c>
      <c r="C173" s="54">
        <f>IFERROR(__xludf.DUMMYFUNCTION("AVERAGE(QUERY(SORT(GOOGLEFINANCE(A173,""price"",TODAY()-150,TODAY()),1,0),""select Col2 limit 50""))"),1295.5979999999995)</f>
        <v>1295.598</v>
      </c>
      <c r="D173" s="54">
        <f>IFERROR(__xludf.DUMMYFUNCTION("AVERAGE(QUERY(SORT(GOOGLEFINANCE(A173,""price"",TODAY()-300,TODAY()),1,0),""select Col2 limit 100""))"),1273.7169999999999)</f>
        <v>1273.717</v>
      </c>
      <c r="E173" s="54">
        <f>IFERROR(__xludf.DUMMYFUNCTION("AVERAGE(QUERY(SORT(GOOGLEFINANCE(A173,""price"",TODAY()-500,TODAY()),1,0),""select Col2 limit 200""))"),1228.4812499999998)</f>
        <v>1228.48125</v>
      </c>
      <c r="F173" s="46" t="str">
        <f t="shared" si="1"/>
        <v>Unconfirmed</v>
      </c>
      <c r="G173" s="48">
        <f t="shared" si="2"/>
        <v>3.949490479</v>
      </c>
    </row>
    <row r="174">
      <c r="A174" s="52" t="s">
        <v>191</v>
      </c>
      <c r="B174" s="53">
        <f>IFERROR(__xludf.DUMMYFUNCTION("GOOGLEFINANCE(A174,""price"")"),1695.8)</f>
        <v>1695.8</v>
      </c>
      <c r="C174" s="54">
        <f>IFERROR(__xludf.DUMMYFUNCTION("AVERAGE(QUERY(SORT(GOOGLEFINANCE(A174,""price"",TODAY()-150,TODAY()),1,0),""select Col2 limit 50""))"),1701.9920000000002)</f>
        <v>1701.992</v>
      </c>
      <c r="D174" s="54">
        <f>IFERROR(__xludf.DUMMYFUNCTION("AVERAGE(QUERY(SORT(GOOGLEFINANCE(A174,""price"",TODAY()-300,TODAY()),1,0),""select Col2 limit 100""))"),1699.5149999999994)</f>
        <v>1699.515</v>
      </c>
      <c r="E174" s="54">
        <f>IFERROR(__xludf.DUMMYFUNCTION("AVERAGE(QUERY(SORT(GOOGLEFINANCE(A174,""price"",TODAY()-500,TODAY()),1,0),""select Col2 limit 200""))"),1624.4829999999988)</f>
        <v>1624.483</v>
      </c>
      <c r="F174" s="46" t="str">
        <f t="shared" si="1"/>
        <v>Unconfirmed</v>
      </c>
      <c r="G174" s="48">
        <f t="shared" si="2"/>
        <v>4.3901352</v>
      </c>
    </row>
    <row r="175">
      <c r="A175" s="52" t="s">
        <v>192</v>
      </c>
      <c r="B175" s="53">
        <f>IFERROR(__xludf.DUMMYFUNCTION("GOOGLEFINANCE(A175,""price"")"),1236.4)</f>
        <v>1236.4</v>
      </c>
      <c r="C175" s="54">
        <f>IFERROR(__xludf.DUMMYFUNCTION("AVERAGE(QUERY(SORT(GOOGLEFINANCE(A175,""price"",TODAY()-150,TODAY()),1,0),""select Col2 limit 50""))"),1112.8740000000003)</f>
        <v>1112.874</v>
      </c>
      <c r="D175" s="54">
        <f>IFERROR(__xludf.DUMMYFUNCTION("AVERAGE(QUERY(SORT(GOOGLEFINANCE(A175,""price"",TODAY()-300,TODAY()),1,0),""select Col2 limit 100""))"),1075.0690000000002)</f>
        <v>1075.069</v>
      </c>
      <c r="E175" s="54">
        <f>IFERROR(__xludf.DUMMYFUNCTION("AVERAGE(QUERY(SORT(GOOGLEFINANCE(A175,""price"",TODAY()-500,TODAY()),1,0),""select Col2 limit 200""))"),1027.3345000000002)</f>
        <v>1027.3345</v>
      </c>
      <c r="F175" s="46" t="str">
        <f t="shared" si="1"/>
        <v>Unconfirmed</v>
      </c>
      <c r="G175" s="48">
        <f t="shared" si="2"/>
        <v>20.35028513</v>
      </c>
    </row>
    <row r="176">
      <c r="A176" s="52" t="s">
        <v>193</v>
      </c>
      <c r="B176" s="53">
        <f>IFERROR(__xludf.DUMMYFUNCTION("GOOGLEFINANCE(A176,""price"")"),654.3)</f>
        <v>654.3</v>
      </c>
      <c r="C176" s="54">
        <f>IFERROR(__xludf.DUMMYFUNCTION("AVERAGE(QUERY(SORT(GOOGLEFINANCE(A176,""price"",TODAY()-150,TODAY()),1,0),""select Col2 limit 50""))"),656.8709999999999)</f>
        <v>656.871</v>
      </c>
      <c r="D176" s="54">
        <f>IFERROR(__xludf.DUMMYFUNCTION("AVERAGE(QUERY(SORT(GOOGLEFINANCE(A176,""price"",TODAY()-300,TODAY()),1,0),""select Col2 limit 100""))"),635.0725)</f>
        <v>635.0725</v>
      </c>
      <c r="E176" s="54">
        <f>IFERROR(__xludf.DUMMYFUNCTION("AVERAGE(QUERY(SORT(GOOGLEFINANCE(A176,""price"",TODAY()-500,TODAY()),1,0),""select Col2 limit 200""))"),630.7552499999998)</f>
        <v>630.75525</v>
      </c>
      <c r="F176" s="46" t="str">
        <f t="shared" si="1"/>
        <v>Unconfirmed</v>
      </c>
      <c r="G176" s="48">
        <f t="shared" si="2"/>
        <v>3.732787004</v>
      </c>
    </row>
    <row r="177">
      <c r="A177" s="52" t="s">
        <v>194</v>
      </c>
      <c r="B177" s="53">
        <f>IFERROR(__xludf.DUMMYFUNCTION("GOOGLEFINANCE(A177,""price"")"),1265.7)</f>
        <v>1265.7</v>
      </c>
      <c r="C177" s="54">
        <f>IFERROR(__xludf.DUMMYFUNCTION("AVERAGE(QUERY(SORT(GOOGLEFINANCE(A177,""price"",TODAY()-150,TODAY()),1,0),""select Col2 limit 50""))"),1195.3160000000003)</f>
        <v>1195.316</v>
      </c>
      <c r="D177" s="54">
        <f>IFERROR(__xludf.DUMMYFUNCTION("AVERAGE(QUERY(SORT(GOOGLEFINANCE(A177,""price"",TODAY()-300,TODAY()),1,0),""select Col2 limit 100""))"),1174.9850000000004)</f>
        <v>1174.985</v>
      </c>
      <c r="E177" s="54">
        <f>IFERROR(__xludf.DUMMYFUNCTION("AVERAGE(QUERY(SORT(GOOGLEFINANCE(A177,""price"",TODAY()-500,TODAY()),1,0),""select Col2 limit 200""))"),1111.7049999999995)</f>
        <v>1111.705</v>
      </c>
      <c r="F177" s="46" t="str">
        <f t="shared" si="1"/>
        <v>Unconfirmed</v>
      </c>
      <c r="G177" s="48">
        <f t="shared" si="2"/>
        <v>13.85214603</v>
      </c>
    </row>
    <row r="178">
      <c r="A178" s="52" t="s">
        <v>195</v>
      </c>
      <c r="B178" s="53">
        <f>IFERROR(__xludf.DUMMYFUNCTION("GOOGLEFINANCE(A178,""price"")"),2650.0)</f>
        <v>2650</v>
      </c>
      <c r="C178" s="54">
        <f>IFERROR(__xludf.DUMMYFUNCTION("AVERAGE(QUERY(SORT(GOOGLEFINANCE(A178,""price"",TODAY()-150,TODAY()),1,0),""select Col2 limit 50""))"),2774.6799999999994)</f>
        <v>2774.68</v>
      </c>
      <c r="D178" s="54">
        <f>IFERROR(__xludf.DUMMYFUNCTION("AVERAGE(QUERY(SORT(GOOGLEFINANCE(A178,""price"",TODAY()-300,TODAY()),1,0),""select Col2 limit 100""))"),2704.9109999999996)</f>
        <v>2704.911</v>
      </c>
      <c r="E178" s="54">
        <f>IFERROR(__xludf.DUMMYFUNCTION("AVERAGE(QUERY(SORT(GOOGLEFINANCE(A178,""price"",TODAY()-500,TODAY()),1,0),""select Col2 limit 200""))"),2581.419150000001)</f>
        <v>2581.41915</v>
      </c>
      <c r="F178" s="46" t="str">
        <f t="shared" si="1"/>
        <v>Unconfirmed</v>
      </c>
      <c r="G178" s="48">
        <f t="shared" si="2"/>
        <v>2.656711135</v>
      </c>
    </row>
    <row r="179">
      <c r="A179" s="52" t="s">
        <v>196</v>
      </c>
      <c r="B179" s="53">
        <f>IFERROR(__xludf.DUMMYFUNCTION("GOOGLEFINANCE(A179,""price"")"),1367.2)</f>
        <v>1367.2</v>
      </c>
      <c r="C179" s="54">
        <f>IFERROR(__xludf.DUMMYFUNCTION("AVERAGE(QUERY(SORT(GOOGLEFINANCE(A179,""price"",TODAY()-150,TODAY()),1,0),""select Col2 limit 50""))"),1311.4840000000002)</f>
        <v>1311.484</v>
      </c>
      <c r="D179" s="54">
        <f>IFERROR(__xludf.DUMMYFUNCTION("AVERAGE(QUERY(SORT(GOOGLEFINANCE(A179,""price"",TODAY()-300,TODAY()),1,0),""select Col2 limit 100""))"),1276.6800000000005)</f>
        <v>1276.68</v>
      </c>
      <c r="E179" s="54">
        <f>IFERROR(__xludf.DUMMYFUNCTION("AVERAGE(QUERY(SORT(GOOGLEFINANCE(A179,""price"",TODAY()-500,TODAY()),1,0),""select Col2 limit 200""))"),1208.6430000000003)</f>
        <v>1208.643</v>
      </c>
      <c r="F179" s="46" t="str">
        <f t="shared" si="1"/>
        <v>Unconfirmed</v>
      </c>
      <c r="G179" s="48">
        <f t="shared" si="2"/>
        <v>13.11859664</v>
      </c>
    </row>
    <row r="180">
      <c r="A180" s="52" t="s">
        <v>197</v>
      </c>
      <c r="B180" s="53">
        <f>IFERROR(__xludf.DUMMYFUNCTION("GOOGLEFINANCE(A180,""price"")"),1872.0)</f>
        <v>1872</v>
      </c>
      <c r="C180" s="54">
        <f>IFERROR(__xludf.DUMMYFUNCTION("AVERAGE(QUERY(SORT(GOOGLEFINANCE(A180,""price"",TODAY()-150,TODAY()),1,0),""select Col2 limit 50""))"),2024.33)</f>
        <v>2024.33</v>
      </c>
      <c r="D180" s="54">
        <f>IFERROR(__xludf.DUMMYFUNCTION("AVERAGE(QUERY(SORT(GOOGLEFINANCE(A180,""price"",TODAY()-300,TODAY()),1,0),""select Col2 limit 100""))"),2045.0739999999994)</f>
        <v>2045.074</v>
      </c>
      <c r="E180" s="54">
        <f>IFERROR(__xludf.DUMMYFUNCTION("AVERAGE(QUERY(SORT(GOOGLEFINANCE(A180,""price"",TODAY()-500,TODAY()),1,0),""select Col2 limit 200""))"),1976.2444999999998)</f>
        <v>1976.2445</v>
      </c>
      <c r="F180" s="46" t="str">
        <f t="shared" si="1"/>
        <v>Unconfirmed</v>
      </c>
      <c r="G180" s="48">
        <f t="shared" si="2"/>
        <v>-5.27487869</v>
      </c>
    </row>
    <row r="181">
      <c r="A181" s="52" t="s">
        <v>198</v>
      </c>
      <c r="B181" s="53">
        <f>IFERROR(__xludf.DUMMYFUNCTION("GOOGLEFINANCE(A181,""price"")"),1068.4)</f>
        <v>1068.4</v>
      </c>
      <c r="C181" s="54">
        <f>IFERROR(__xludf.DUMMYFUNCTION("AVERAGE(QUERY(SORT(GOOGLEFINANCE(A181,""price"",TODAY()-150,TODAY()),1,0),""select Col2 limit 50""))"),1145.072)</f>
        <v>1145.072</v>
      </c>
      <c r="D181" s="54">
        <f>IFERROR(__xludf.DUMMYFUNCTION("AVERAGE(QUERY(SORT(GOOGLEFINANCE(A181,""price"",TODAY()-300,TODAY()),1,0),""select Col2 limit 100""))"),1135.06)</f>
        <v>1135.06</v>
      </c>
      <c r="E181" s="54">
        <f>IFERROR(__xludf.DUMMYFUNCTION("AVERAGE(QUERY(SORT(GOOGLEFINANCE(A181,""price"",TODAY()-500,TODAY()),1,0),""select Col2 limit 200""))"),1110.862)</f>
        <v>1110.862</v>
      </c>
      <c r="F181" s="46" t="str">
        <f t="shared" si="1"/>
        <v>Unconfirmed</v>
      </c>
      <c r="G181" s="48">
        <f t="shared" si="2"/>
        <v>-3.82243699</v>
      </c>
    </row>
    <row r="182">
      <c r="A182" s="52" t="s">
        <v>199</v>
      </c>
      <c r="B182" s="53">
        <f>IFERROR(__xludf.DUMMYFUNCTION("GOOGLEFINANCE(A182,""price"")"),5279.0)</f>
        <v>5279</v>
      </c>
      <c r="C182" s="54">
        <f>IFERROR(__xludf.DUMMYFUNCTION("AVERAGE(QUERY(SORT(GOOGLEFINANCE(A182,""price"",TODAY()-150,TODAY()),1,0),""select Col2 limit 50""))"),5243.21)</f>
        <v>5243.21</v>
      </c>
      <c r="D182" s="54">
        <f>IFERROR(__xludf.DUMMYFUNCTION("AVERAGE(QUERY(SORT(GOOGLEFINANCE(A182,""price"",TODAY()-300,TODAY()),1,0),""select Col2 limit 100""))"),4953.236999999999)</f>
        <v>4953.237</v>
      </c>
      <c r="E182" s="54">
        <f>IFERROR(__xludf.DUMMYFUNCTION("AVERAGE(QUERY(SORT(GOOGLEFINANCE(A182,""price"",TODAY()-500,TODAY()),1,0),""select Col2 limit 200""))"),4900.5025)</f>
        <v>4900.5025</v>
      </c>
      <c r="F182" s="46" t="str">
        <f t="shared" si="1"/>
        <v>In Bull Run</v>
      </c>
      <c r="G182" s="48">
        <f t="shared" si="2"/>
        <v>7.723646708</v>
      </c>
    </row>
    <row r="183">
      <c r="A183" s="52" t="s">
        <v>200</v>
      </c>
      <c r="B183" s="53">
        <f>IFERROR(__xludf.DUMMYFUNCTION("GOOGLEFINANCE(A183,""price"")"),3396.0)</f>
        <v>3396</v>
      </c>
      <c r="C183" s="54">
        <f>IFERROR(__xludf.DUMMYFUNCTION("AVERAGE(QUERY(SORT(GOOGLEFINANCE(A183,""price"",TODAY()-150,TODAY()),1,0),""select Col2 limit 50""))"),3637.79)</f>
        <v>3637.79</v>
      </c>
      <c r="D183" s="54">
        <f>IFERROR(__xludf.DUMMYFUNCTION("AVERAGE(QUERY(SORT(GOOGLEFINANCE(A183,""price"",TODAY()-300,TODAY()),1,0),""select Col2 limit 100""))"),3657.690000000001)</f>
        <v>3657.69</v>
      </c>
      <c r="E183" s="54">
        <f>IFERROR(__xludf.DUMMYFUNCTION("AVERAGE(QUERY(SORT(GOOGLEFINANCE(A183,""price"",TODAY()-500,TODAY()),1,0),""select Col2 limit 200""))"),3554.9034999999985)</f>
        <v>3554.9035</v>
      </c>
      <c r="F183" s="46" t="str">
        <f t="shared" si="1"/>
        <v>Unconfirmed</v>
      </c>
      <c r="G183" s="48">
        <f t="shared" si="2"/>
        <v>-4.46998069</v>
      </c>
    </row>
    <row r="184">
      <c r="A184" s="52" t="s">
        <v>201</v>
      </c>
      <c r="B184" s="53">
        <f>IFERROR(__xludf.DUMMYFUNCTION("GOOGLEFINANCE(A184,""price"")"),198.8)</f>
        <v>198.8</v>
      </c>
      <c r="C184" s="54">
        <f>IFERROR(__xludf.DUMMYFUNCTION("AVERAGE(QUERY(SORT(GOOGLEFINANCE(A184,""price"",TODAY()-150,TODAY()),1,0),""select Col2 limit 50""))"),173.97959999999995)</f>
        <v>173.9796</v>
      </c>
      <c r="D184" s="54">
        <f>IFERROR(__xludf.DUMMYFUNCTION("AVERAGE(QUERY(SORT(GOOGLEFINANCE(A184,""price"",TODAY()-300,TODAY()),1,0),""select Col2 limit 100""))"),161.22530000000003)</f>
        <v>161.2253</v>
      </c>
      <c r="E184" s="54">
        <f>IFERROR(__xludf.DUMMYFUNCTION("AVERAGE(QUERY(SORT(GOOGLEFINANCE(A184,""price"",TODAY()-500,TODAY()),1,0),""select Col2 limit 200""))"),150.56839999999997)</f>
        <v>150.5684</v>
      </c>
      <c r="F184" s="46" t="str">
        <f t="shared" si="1"/>
        <v>Unconfirmed</v>
      </c>
      <c r="G184" s="48">
        <f t="shared" si="2"/>
        <v>32.03301622</v>
      </c>
    </row>
    <row r="185">
      <c r="A185" s="52" t="s">
        <v>202</v>
      </c>
      <c r="B185" s="53">
        <f>IFERROR(__xludf.DUMMYFUNCTION("GOOGLEFINANCE(A185,""price"")"),4365.0)</f>
        <v>4365</v>
      </c>
      <c r="C185" s="54">
        <f>IFERROR(__xludf.DUMMYFUNCTION("AVERAGE(QUERY(SORT(GOOGLEFINANCE(A185,""price"",TODAY()-150,TODAY()),1,0),""select Col2 limit 50""))"),4027.541999999999)</f>
        <v>4027.542</v>
      </c>
      <c r="D185" s="54">
        <f>IFERROR(__xludf.DUMMYFUNCTION("AVERAGE(QUERY(SORT(GOOGLEFINANCE(A185,""price"",TODAY()-300,TODAY()),1,0),""select Col2 limit 100""))"),3854.26)</f>
        <v>3854.26</v>
      </c>
      <c r="E185" s="54">
        <f>IFERROR(__xludf.DUMMYFUNCTION("AVERAGE(QUERY(SORT(GOOGLEFINANCE(A185,""price"",TODAY()-500,TODAY()),1,0),""select Col2 limit 200""))"),3649.431999999999)</f>
        <v>3649.432</v>
      </c>
      <c r="F185" s="46" t="str">
        <f t="shared" si="1"/>
        <v>Unconfirmed</v>
      </c>
      <c r="G185" s="48">
        <f t="shared" si="2"/>
        <v>19.60765401</v>
      </c>
    </row>
    <row r="186">
      <c r="A186" s="52" t="s">
        <v>203</v>
      </c>
      <c r="B186" s="53">
        <f>IFERROR(__xludf.DUMMYFUNCTION("GOOGLEFINANCE(A186,""price"")"),9769.5)</f>
        <v>9769.5</v>
      </c>
      <c r="C186" s="54">
        <f>IFERROR(__xludf.DUMMYFUNCTION("AVERAGE(QUERY(SORT(GOOGLEFINANCE(A186,""price"",TODAY()-150,TODAY()),1,0),""select Col2 limit 50""))"),9551.38)</f>
        <v>9551.38</v>
      </c>
      <c r="D186" s="54">
        <f>IFERROR(__xludf.DUMMYFUNCTION("AVERAGE(QUERY(SORT(GOOGLEFINANCE(A186,""price"",TODAY()-300,TODAY()),1,0),""select Col2 limit 100""))"),9264.23)</f>
        <v>9264.23</v>
      </c>
      <c r="E186" s="54">
        <f>IFERROR(__xludf.DUMMYFUNCTION("AVERAGE(QUERY(SORT(GOOGLEFINANCE(A186,""price"",TODAY()-500,TODAY()),1,0),""select Col2 limit 200""))"),8923.755)</f>
        <v>8923.755</v>
      </c>
      <c r="F186" s="46" t="str">
        <f t="shared" si="1"/>
        <v>In Bull Run</v>
      </c>
      <c r="G186" s="48">
        <f t="shared" si="2"/>
        <v>9.477456519</v>
      </c>
    </row>
    <row r="187">
      <c r="A187" s="52" t="s">
        <v>204</v>
      </c>
      <c r="B187" s="53">
        <f>IFERROR(__xludf.DUMMYFUNCTION("GOOGLEFINANCE(A187,""price"")"),1360.0)</f>
        <v>1360</v>
      </c>
      <c r="C187" s="54">
        <f>IFERROR(__xludf.DUMMYFUNCTION("AVERAGE(QUERY(SORT(GOOGLEFINANCE(A187,""price"",TODAY()-150,TODAY()),1,0),""select Col2 limit 50""))"),1462.6119999999999)</f>
        <v>1462.612</v>
      </c>
      <c r="D187" s="54">
        <f>IFERROR(__xludf.DUMMYFUNCTION("AVERAGE(QUERY(SORT(GOOGLEFINANCE(A187,""price"",TODAY()-300,TODAY()),1,0),""select Col2 limit 100""))"),1478.3039999999992)</f>
        <v>1478.304</v>
      </c>
      <c r="E187" s="54">
        <f>IFERROR(__xludf.DUMMYFUNCTION("AVERAGE(QUERY(SORT(GOOGLEFINANCE(A187,""price"",TODAY()-500,TODAY()),1,0),""select Col2 limit 200""))"),1451.1799999999994)</f>
        <v>1451.18</v>
      </c>
      <c r="F187" s="46" t="str">
        <f t="shared" si="1"/>
        <v>Unconfirmed</v>
      </c>
      <c r="G187" s="48">
        <f t="shared" si="2"/>
        <v>-6.283162668</v>
      </c>
    </row>
    <row r="188">
      <c r="A188" s="52" t="s">
        <v>205</v>
      </c>
      <c r="B188" s="53">
        <f>IFERROR(__xludf.DUMMYFUNCTION("GOOGLEFINANCE(A188,""price"")"),1805.2)</f>
        <v>1805.2</v>
      </c>
      <c r="C188" s="54">
        <f>IFERROR(__xludf.DUMMYFUNCTION("AVERAGE(QUERY(SORT(GOOGLEFINANCE(A188,""price"",TODAY()-150,TODAY()),1,0),""select Col2 limit 50""))"),1713.088)</f>
        <v>1713.088</v>
      </c>
      <c r="D188" s="54">
        <f>IFERROR(__xludf.DUMMYFUNCTION("AVERAGE(QUERY(SORT(GOOGLEFINANCE(A188,""price"",TODAY()-300,TODAY()),1,0),""select Col2 limit 100""))"),1673.4160000000004)</f>
        <v>1673.416</v>
      </c>
      <c r="E188" s="54">
        <f>IFERROR(__xludf.DUMMYFUNCTION("AVERAGE(QUERY(SORT(GOOGLEFINANCE(A188,""price"",TODAY()-500,TODAY()),1,0),""select Col2 limit 200""))"),1614.7800000000007)</f>
        <v>1614.78</v>
      </c>
      <c r="F188" s="46" t="str">
        <f t="shared" si="1"/>
        <v>Unconfirmed</v>
      </c>
      <c r="G188" s="48">
        <f t="shared" si="2"/>
        <v>11.79231846</v>
      </c>
    </row>
    <row r="189">
      <c r="A189" s="52" t="s">
        <v>206</v>
      </c>
      <c r="B189" s="53">
        <f>IFERROR(__xludf.DUMMYFUNCTION("GOOGLEFINANCE(A189,""price"")"),4679.0)</f>
        <v>4679</v>
      </c>
      <c r="C189" s="54">
        <f>IFERROR(__xludf.DUMMYFUNCTION("AVERAGE(QUERY(SORT(GOOGLEFINANCE(A189,""price"",TODAY()-150,TODAY()),1,0),""select Col2 limit 50""))"),5941.608)</f>
        <v>5941.608</v>
      </c>
      <c r="D189" s="54">
        <f>IFERROR(__xludf.DUMMYFUNCTION("AVERAGE(QUERY(SORT(GOOGLEFINANCE(A189,""price"",TODAY()-300,TODAY()),1,0),""select Col2 limit 100""))"),5980.421999999999)</f>
        <v>5980.422</v>
      </c>
      <c r="E189" s="54">
        <f>IFERROR(__xludf.DUMMYFUNCTION("AVERAGE(QUERY(SORT(GOOGLEFINANCE(A189,""price"",TODAY()-500,TODAY()),1,0),""select Col2 limit 200""))"),5744.3285)</f>
        <v>5744.3285</v>
      </c>
      <c r="F189" s="46" t="str">
        <f t="shared" si="1"/>
        <v>Unconfirmed</v>
      </c>
      <c r="G189" s="48">
        <f t="shared" si="2"/>
        <v>-18.54574473</v>
      </c>
    </row>
    <row r="190">
      <c r="A190" s="52" t="s">
        <v>207</v>
      </c>
      <c r="B190" s="53">
        <f>IFERROR(__xludf.DUMMYFUNCTION("GOOGLEFINANCE(A190,""price"")"),2303.0)</f>
        <v>2303</v>
      </c>
      <c r="C190" s="54">
        <f>IFERROR(__xludf.DUMMYFUNCTION("AVERAGE(QUERY(SORT(GOOGLEFINANCE(A190,""price"",TODAY()-150,TODAY()),1,0),""select Col2 limit 50""))"),2599.4719999999998)</f>
        <v>2599.472</v>
      </c>
      <c r="D190" s="54">
        <f>IFERROR(__xludf.DUMMYFUNCTION("AVERAGE(QUERY(SORT(GOOGLEFINANCE(A190,""price"",TODAY()-300,TODAY()),1,0),""select Col2 limit 100""))"),2639.2669999999994)</f>
        <v>2639.267</v>
      </c>
      <c r="E190" s="54">
        <f>IFERROR(__xludf.DUMMYFUNCTION("AVERAGE(QUERY(SORT(GOOGLEFINANCE(A190,""price"",TODAY()-500,TODAY()),1,0),""select Col2 limit 200""))"),2519.6945000000005)</f>
        <v>2519.6945</v>
      </c>
      <c r="F190" s="46" t="str">
        <f t="shared" si="1"/>
        <v>Unconfirmed</v>
      </c>
      <c r="G190" s="48">
        <f t="shared" si="2"/>
        <v>-8.600030678</v>
      </c>
    </row>
    <row r="191">
      <c r="A191" s="52" t="s">
        <v>208</v>
      </c>
      <c r="B191" s="53">
        <f>IFERROR(__xludf.DUMMYFUNCTION("GOOGLEFINANCE(A191,""price"")"),179.08)</f>
        <v>179.08</v>
      </c>
      <c r="C191" s="54">
        <f>IFERROR(__xludf.DUMMYFUNCTION("AVERAGE(QUERY(SORT(GOOGLEFINANCE(A191,""price"",TODAY()-150,TODAY()),1,0),""select Col2 limit 50""))"),167.90099999999998)</f>
        <v>167.901</v>
      </c>
      <c r="D191" s="54">
        <f>IFERROR(__xludf.DUMMYFUNCTION("AVERAGE(QUERY(SORT(GOOGLEFINANCE(A191,""price"",TODAY()-300,TODAY()),1,0),""select Col2 limit 100""))"),165.28660000000002)</f>
        <v>165.2866</v>
      </c>
      <c r="E191" s="54">
        <f>IFERROR(__xludf.DUMMYFUNCTION("AVERAGE(QUERY(SORT(GOOGLEFINANCE(A191,""price"",TODAY()-500,TODAY()),1,0),""select Col2 limit 200""))"),154.97105000000008)</f>
        <v>154.97105</v>
      </c>
      <c r="F191" s="46" t="str">
        <f t="shared" si="1"/>
        <v>Unconfirmed</v>
      </c>
      <c r="G191" s="48">
        <f t="shared" si="2"/>
        <v>15.55706695</v>
      </c>
    </row>
    <row r="192">
      <c r="A192" s="52" t="s">
        <v>209</v>
      </c>
      <c r="B192" s="53">
        <f>IFERROR(__xludf.DUMMYFUNCTION("GOOGLEFINANCE(A192,""price"")"),943.0)</f>
        <v>943</v>
      </c>
      <c r="C192" s="54">
        <f>IFERROR(__xludf.DUMMYFUNCTION("AVERAGE(QUERY(SORT(GOOGLEFINANCE(A192,""price"",TODAY()-150,TODAY()),1,0),""select Col2 limit 50""))"),905.7939999999998)</f>
        <v>905.794</v>
      </c>
      <c r="D192" s="54">
        <f>IFERROR(__xludf.DUMMYFUNCTION("AVERAGE(QUERY(SORT(GOOGLEFINANCE(A192,""price"",TODAY()-300,TODAY()),1,0),""select Col2 limit 100""))"),858.8009999999999)</f>
        <v>858.801</v>
      </c>
      <c r="E192" s="54">
        <f>IFERROR(__xludf.DUMMYFUNCTION("AVERAGE(QUERY(SORT(GOOGLEFINANCE(A192,""price"",TODAY()-500,TODAY()),1,0),""select Col2 limit 200""))"),828.88525)</f>
        <v>828.88525</v>
      </c>
      <c r="F192" s="46" t="str">
        <f t="shared" si="1"/>
        <v>Unconfirmed</v>
      </c>
      <c r="G192" s="48">
        <f t="shared" si="2"/>
        <v>13.76725548</v>
      </c>
    </row>
    <row r="193">
      <c r="A193" s="52" t="s">
        <v>210</v>
      </c>
      <c r="B193" s="53">
        <f>IFERROR(__xludf.DUMMYFUNCTION("GOOGLEFINANCE(A193,""price"")"),904.25)</f>
        <v>904.25</v>
      </c>
      <c r="C193" s="54">
        <f>IFERROR(__xludf.DUMMYFUNCTION("AVERAGE(QUERY(SORT(GOOGLEFINANCE(A193,""price"",TODAY()-150,TODAY()),1,0),""select Col2 limit 50""))"),899.686)</f>
        <v>899.686</v>
      </c>
      <c r="D193" s="54">
        <f>IFERROR(__xludf.DUMMYFUNCTION("AVERAGE(QUERY(SORT(GOOGLEFINANCE(A193,""price"",TODAY()-300,TODAY()),1,0),""select Col2 limit 100""))"),885.9440000000002)</f>
        <v>885.944</v>
      </c>
      <c r="E193" s="54">
        <f>IFERROR(__xludf.DUMMYFUNCTION("AVERAGE(QUERY(SORT(GOOGLEFINANCE(A193,""price"",TODAY()-500,TODAY()),1,0),""select Col2 limit 200""))"),843.9390000000014)</f>
        <v>843.939</v>
      </c>
      <c r="F193" s="46" t="str">
        <f t="shared" si="1"/>
        <v>In Bull Run</v>
      </c>
      <c r="G193" s="48">
        <f t="shared" si="2"/>
        <v>7.146369584</v>
      </c>
    </row>
    <row r="194">
      <c r="A194" s="52" t="s">
        <v>211</v>
      </c>
      <c r="B194" s="53">
        <f>IFERROR(__xludf.DUMMYFUNCTION("GOOGLEFINANCE(A194,""price"")"),210.87)</f>
        <v>210.87</v>
      </c>
      <c r="C194" s="54">
        <f>IFERROR(__xludf.DUMMYFUNCTION("AVERAGE(QUERY(SORT(GOOGLEFINANCE(A194,""price"",TODAY()-150,TODAY()),1,0),""select Col2 limit 50""))"),191.6882)</f>
        <v>191.6882</v>
      </c>
      <c r="D194" s="54">
        <f>IFERROR(__xludf.DUMMYFUNCTION("AVERAGE(QUERY(SORT(GOOGLEFINANCE(A194,""price"",TODAY()-300,TODAY()),1,0),""select Col2 limit 100""))"),182.2951)</f>
        <v>182.2951</v>
      </c>
      <c r="E194" s="54">
        <f>IFERROR(__xludf.DUMMYFUNCTION("AVERAGE(QUERY(SORT(GOOGLEFINANCE(A194,""price"",TODAY()-500,TODAY()),1,0),""select Col2 limit 200""))"),171.84900000000002)</f>
        <v>171.849</v>
      </c>
      <c r="F194" s="46" t="str">
        <f t="shared" si="1"/>
        <v>Unconfirmed</v>
      </c>
      <c r="G194" s="48">
        <f t="shared" si="2"/>
        <v>22.70656216</v>
      </c>
    </row>
    <row r="195">
      <c r="A195" s="52" t="s">
        <v>212</v>
      </c>
      <c r="B195" s="53">
        <f>IFERROR(__xludf.DUMMYFUNCTION("GOOGLEFINANCE(A195,""price"")"),2134.1)</f>
        <v>2134.1</v>
      </c>
      <c r="C195" s="54">
        <f>IFERROR(__xludf.DUMMYFUNCTION("AVERAGE(QUERY(SORT(GOOGLEFINANCE(A195,""price"",TODAY()-150,TODAY()),1,0),""select Col2 limit 50""))"),2017.1080000000004)</f>
        <v>2017.108</v>
      </c>
      <c r="D195" s="54">
        <f>IFERROR(__xludf.DUMMYFUNCTION("AVERAGE(QUERY(SORT(GOOGLEFINANCE(A195,""price"",TODAY()-300,TODAY()),1,0),""select Col2 limit 100""))"),1955.8539999999994)</f>
        <v>1955.854</v>
      </c>
      <c r="E195" s="54">
        <f>IFERROR(__xludf.DUMMYFUNCTION("AVERAGE(QUERY(SORT(GOOGLEFINANCE(A195,""price"",TODAY()-500,TODAY()),1,0),""select Col2 limit 200""))"),1914.9594999999986)</f>
        <v>1914.9595</v>
      </c>
      <c r="F195" s="46" t="str">
        <f t="shared" si="1"/>
        <v>Unconfirmed</v>
      </c>
      <c r="G195" s="48">
        <f t="shared" si="2"/>
        <v>11.44361017</v>
      </c>
    </row>
    <row r="196">
      <c r="A196" s="52" t="s">
        <v>213</v>
      </c>
      <c r="B196" s="53">
        <f>IFERROR(__xludf.DUMMYFUNCTION("GOOGLEFINANCE(A196,""price"")"),2031.4)</f>
        <v>2031.4</v>
      </c>
      <c r="C196" s="54">
        <f>IFERROR(__xludf.DUMMYFUNCTION("AVERAGE(QUERY(SORT(GOOGLEFINANCE(A196,""price"",TODAY()-150,TODAY()),1,0),""select Col2 limit 50""))"),2042.7799999999995)</f>
        <v>2042.78</v>
      </c>
      <c r="D196" s="54">
        <f>IFERROR(__xludf.DUMMYFUNCTION("AVERAGE(QUERY(SORT(GOOGLEFINANCE(A196,""price"",TODAY()-300,TODAY()),1,0),""select Col2 limit 100""))"),1994.161999999999)</f>
        <v>1994.162</v>
      </c>
      <c r="E196" s="54">
        <f>IFERROR(__xludf.DUMMYFUNCTION("AVERAGE(QUERY(SORT(GOOGLEFINANCE(A196,""price"",TODAY()-500,TODAY()),1,0),""select Col2 limit 200""))"),1904.4089999999994)</f>
        <v>1904.409</v>
      </c>
      <c r="F196" s="46" t="str">
        <f t="shared" si="1"/>
        <v>Unconfirmed</v>
      </c>
      <c r="G196" s="48">
        <f t="shared" si="2"/>
        <v>6.668262962</v>
      </c>
    </row>
    <row r="197">
      <c r="A197" s="52" t="s">
        <v>214</v>
      </c>
      <c r="B197" s="53">
        <f>IFERROR(__xludf.DUMMYFUNCTION("GOOGLEFINANCE(A197,""price"")"),2970.0)</f>
        <v>2970</v>
      </c>
      <c r="C197" s="54">
        <f>IFERROR(__xludf.DUMMYFUNCTION("AVERAGE(QUERY(SORT(GOOGLEFINANCE(A197,""price"",TODAY()-150,TODAY()),1,0),""select Col2 limit 50""))"),2816.458)</f>
        <v>2816.458</v>
      </c>
      <c r="D197" s="54">
        <f>IFERROR(__xludf.DUMMYFUNCTION("AVERAGE(QUERY(SORT(GOOGLEFINANCE(A197,""price"",TODAY()-300,TODAY()),1,0),""select Col2 limit 100""))"),2667.8350000000005)</f>
        <v>2667.835</v>
      </c>
      <c r="E197" s="54">
        <f>IFERROR(__xludf.DUMMYFUNCTION("AVERAGE(QUERY(SORT(GOOGLEFINANCE(A197,""price"",TODAY()-500,TODAY()),1,0),""select Col2 limit 200""))"),2636.2960000000016)</f>
        <v>2636.296</v>
      </c>
      <c r="F197" s="46" t="str">
        <f t="shared" si="1"/>
        <v>Unconfirmed</v>
      </c>
      <c r="G197" s="48">
        <f t="shared" si="2"/>
        <v>12.65806268</v>
      </c>
    </row>
    <row r="198">
      <c r="A198" s="52" t="s">
        <v>215</v>
      </c>
      <c r="B198" s="53">
        <f>IFERROR(__xludf.DUMMYFUNCTION("GOOGLEFINANCE(A198,""price"")"),114.88)</f>
        <v>114.88</v>
      </c>
      <c r="C198" s="54">
        <f>IFERROR(__xludf.DUMMYFUNCTION("AVERAGE(QUERY(SORT(GOOGLEFINANCE(A198,""price"",TODAY()-150,TODAY()),1,0),""select Col2 limit 50""))"),105.43179999999997)</f>
        <v>105.4318</v>
      </c>
      <c r="D198" s="54">
        <f>IFERROR(__xludf.DUMMYFUNCTION("AVERAGE(QUERY(SORT(GOOGLEFINANCE(A198,""price"",TODAY()-300,TODAY()),1,0),""select Col2 limit 100""))"),101.60119999999995)</f>
        <v>101.6012</v>
      </c>
      <c r="E198" s="54">
        <f>IFERROR(__xludf.DUMMYFUNCTION("AVERAGE(QUERY(SORT(GOOGLEFINANCE(A198,""price"",TODAY()-500,TODAY()),1,0),""select Col2 limit 200""))"),97.82645000000001)</f>
        <v>97.82645</v>
      </c>
      <c r="F198" s="46" t="str">
        <f t="shared" si="1"/>
        <v>Unconfirmed</v>
      </c>
      <c r="G198" s="48">
        <f t="shared" si="2"/>
        <v>17.43245308</v>
      </c>
    </row>
    <row r="199">
      <c r="A199" s="52" t="s">
        <v>216</v>
      </c>
      <c r="B199" s="53">
        <f>IFERROR(__xludf.DUMMYFUNCTION("GOOGLEFINANCE(A199,""price"")"),4054.0)</f>
        <v>4054</v>
      </c>
      <c r="C199" s="54">
        <f>IFERROR(__xludf.DUMMYFUNCTION("AVERAGE(QUERY(SORT(GOOGLEFINANCE(A199,""price"",TODAY()-150,TODAY()),1,0),""select Col2 limit 50""))"),4068.8500000000004)</f>
        <v>4068.85</v>
      </c>
      <c r="D199" s="54">
        <f>IFERROR(__xludf.DUMMYFUNCTION("AVERAGE(QUERY(SORT(GOOGLEFINANCE(A199,""price"",TODAY()-300,TODAY()),1,0),""select Col2 limit 100""))"),4011.8810000000008)</f>
        <v>4011.881</v>
      </c>
      <c r="E199" s="54">
        <f>IFERROR(__xludf.DUMMYFUNCTION("AVERAGE(QUERY(SORT(GOOGLEFINANCE(A199,""price"",TODAY()-500,TODAY()),1,0),""select Col2 limit 200""))"),3809.9060000000004)</f>
        <v>3809.906</v>
      </c>
      <c r="F199" s="46" t="str">
        <f t="shared" si="1"/>
        <v>Unconfirmed</v>
      </c>
      <c r="G199" s="48">
        <f t="shared" si="2"/>
        <v>6.406824735</v>
      </c>
    </row>
    <row r="200">
      <c r="A200" s="52" t="s">
        <v>217</v>
      </c>
      <c r="B200" s="53">
        <f>IFERROR(__xludf.DUMMYFUNCTION("GOOGLEFINANCE(A200,""price"")"),126.35)</f>
        <v>126.35</v>
      </c>
      <c r="C200" s="54">
        <f>IFERROR(__xludf.DUMMYFUNCTION("AVERAGE(QUERY(SORT(GOOGLEFINANCE(A200,""price"",TODAY()-150,TODAY()),1,0),""select Col2 limit 50""))"),124.445)</f>
        <v>124.445</v>
      </c>
      <c r="D200" s="54">
        <f>IFERROR(__xludf.DUMMYFUNCTION("AVERAGE(QUERY(SORT(GOOGLEFINANCE(A200,""price"",TODAY()-300,TODAY()),1,0),""select Col2 limit 100""))"),122.24049999999997)</f>
        <v>122.2405</v>
      </c>
      <c r="E200" s="54">
        <f>IFERROR(__xludf.DUMMYFUNCTION("AVERAGE(QUERY(SORT(GOOGLEFINANCE(A200,""price"",TODAY()-500,TODAY()),1,0),""select Col2 limit 200""))"),114.80635000000001)</f>
        <v>114.80635</v>
      </c>
      <c r="F200" s="46" t="str">
        <f t="shared" si="1"/>
        <v>Unconfirmed</v>
      </c>
      <c r="G200" s="48">
        <f t="shared" si="2"/>
        <v>10.05488808</v>
      </c>
    </row>
    <row r="201">
      <c r="A201" s="52" t="s">
        <v>218</v>
      </c>
      <c r="B201" s="53">
        <f>IFERROR(__xludf.DUMMYFUNCTION("GOOGLEFINANCE(A201,""price"")"),8550.0)</f>
        <v>8550</v>
      </c>
      <c r="C201" s="54">
        <f>IFERROR(__xludf.DUMMYFUNCTION("AVERAGE(QUERY(SORT(GOOGLEFINANCE(A201,""price"",TODAY()-150,TODAY()),1,0),""select Col2 limit 50""))"),7589.59)</f>
        <v>7589.59</v>
      </c>
      <c r="D201" s="54">
        <f>IFERROR(__xludf.DUMMYFUNCTION("AVERAGE(QUERY(SORT(GOOGLEFINANCE(A201,""price"",TODAY()-300,TODAY()),1,0),""select Col2 limit 100""))"),7551.545)</f>
        <v>7551.545</v>
      </c>
      <c r="E201" s="54">
        <f>IFERROR(__xludf.DUMMYFUNCTION("AVERAGE(QUERY(SORT(GOOGLEFINANCE(A201,""price"",TODAY()-500,TODAY()),1,0),""select Col2 limit 200""))"),7146.575)</f>
        <v>7146.575</v>
      </c>
      <c r="F201" s="46" t="str">
        <f t="shared" si="1"/>
        <v>Unconfirmed</v>
      </c>
      <c r="G201" s="48">
        <f t="shared" si="2"/>
        <v>19.63772856</v>
      </c>
    </row>
    <row r="202">
      <c r="A202" s="52" t="s">
        <v>219</v>
      </c>
      <c r="B202" s="53">
        <f>IFERROR(__xludf.DUMMYFUNCTION("GOOGLEFINANCE(A202,""price"")"),449.65)</f>
        <v>449.65</v>
      </c>
      <c r="C202" s="54">
        <f>IFERROR(__xludf.DUMMYFUNCTION("AVERAGE(QUERY(SORT(GOOGLEFINANCE(A202,""price"",TODAY()-150,TODAY()),1,0),""select Col2 limit 50""))"),440.2789999999999)</f>
        <v>440.279</v>
      </c>
      <c r="D202" s="54">
        <f>IFERROR(__xludf.DUMMYFUNCTION("AVERAGE(QUERY(SORT(GOOGLEFINANCE(A202,""price"",TODAY()-300,TODAY()),1,0),""select Col2 limit 100""))"),413.70600000000013)</f>
        <v>413.706</v>
      </c>
      <c r="E202" s="54">
        <f>IFERROR(__xludf.DUMMYFUNCTION("AVERAGE(QUERY(SORT(GOOGLEFINANCE(A202,""price"",TODAY()-500,TODAY()),1,0),""select Col2 limit 200""))"),394.0930000000003)</f>
        <v>394.093</v>
      </c>
      <c r="F202" s="46" t="str">
        <f t="shared" si="1"/>
        <v>Unconfirmed</v>
      </c>
      <c r="G202" s="48">
        <f t="shared" si="2"/>
        <v>14.09743385</v>
      </c>
    </row>
    <row r="203">
      <c r="A203" s="52" t="s">
        <v>220</v>
      </c>
      <c r="B203" s="53">
        <f>IFERROR(__xludf.DUMMYFUNCTION("GOOGLEFINANCE(A203,""price"")"),4258.5)</f>
        <v>4258.5</v>
      </c>
      <c r="C203" s="54">
        <f>IFERROR(__xludf.DUMMYFUNCTION("AVERAGE(QUERY(SORT(GOOGLEFINANCE(A203,""price"",TODAY()-150,TODAY()),1,0),""select Col2 limit 50""))"),4126.683999999999)</f>
        <v>4126.684</v>
      </c>
      <c r="D203" s="54">
        <f>IFERROR(__xludf.DUMMYFUNCTION("AVERAGE(QUERY(SORT(GOOGLEFINANCE(A203,""price"",TODAY()-300,TODAY()),1,0),""select Col2 limit 100""))"),3952.3619999999996)</f>
        <v>3952.362</v>
      </c>
      <c r="E203" s="54">
        <f>IFERROR(__xludf.DUMMYFUNCTION("AVERAGE(QUERY(SORT(GOOGLEFINANCE(A203,""price"",TODAY()-500,TODAY()),1,0),""select Col2 limit 200""))"),3736.2394999999983)</f>
        <v>3736.2395</v>
      </c>
      <c r="F203" s="46" t="str">
        <f t="shared" si="1"/>
        <v>Unconfirmed</v>
      </c>
      <c r="G203" s="48">
        <f t="shared" si="2"/>
        <v>13.97823935</v>
      </c>
    </row>
    <row r="204">
      <c r="A204" s="52" t="s">
        <v>221</v>
      </c>
      <c r="B204" s="53">
        <f>IFERROR(__xludf.DUMMYFUNCTION("GOOGLEFINANCE(A204,""price"")"),1147.3)</f>
        <v>1147.3</v>
      </c>
      <c r="C204" s="54">
        <f>IFERROR(__xludf.DUMMYFUNCTION("AVERAGE(QUERY(SORT(GOOGLEFINANCE(A204,""price"",TODAY()-150,TODAY()),1,0),""select Col2 limit 50""))"),1220.6900000000003)</f>
        <v>1220.69</v>
      </c>
      <c r="D204" s="54">
        <f>IFERROR(__xludf.DUMMYFUNCTION("AVERAGE(QUERY(SORT(GOOGLEFINANCE(A204,""price"",TODAY()-300,TODAY()),1,0),""select Col2 limit 100""))"),1240.811)</f>
        <v>1240.811</v>
      </c>
      <c r="E204" s="54">
        <f>IFERROR(__xludf.DUMMYFUNCTION("AVERAGE(QUERY(SORT(GOOGLEFINANCE(A204,""price"",TODAY()-500,TODAY()),1,0),""select Col2 limit 200""))"),1191.5417499999996)</f>
        <v>1191.54175</v>
      </c>
      <c r="F204" s="46" t="str">
        <f t="shared" si="1"/>
        <v>Unconfirmed</v>
      </c>
      <c r="G204" s="48">
        <f t="shared" si="2"/>
        <v>-3.71298362</v>
      </c>
    </row>
    <row r="205">
      <c r="A205" s="52" t="s">
        <v>222</v>
      </c>
      <c r="B205" s="53">
        <f>IFERROR(__xludf.DUMMYFUNCTION("GOOGLEFINANCE(A205,""price"")"),3324.8)</f>
        <v>3324.8</v>
      </c>
      <c r="C205" s="54">
        <f>IFERROR(__xludf.DUMMYFUNCTION("AVERAGE(QUERY(SORT(GOOGLEFINANCE(A205,""price"",TODAY()-150,TODAY()),1,0),""select Col2 limit 50""))"),3578.0820000000003)</f>
        <v>3578.082</v>
      </c>
      <c r="D205" s="54">
        <f>IFERROR(__xludf.DUMMYFUNCTION("AVERAGE(QUERY(SORT(GOOGLEFINANCE(A205,""price"",TODAY()-300,TODAY()),1,0),""select Col2 limit 100""))"),3602.676)</f>
        <v>3602.676</v>
      </c>
      <c r="E205" s="54">
        <f>IFERROR(__xludf.DUMMYFUNCTION("AVERAGE(QUERY(SORT(GOOGLEFINANCE(A205,""price"",TODAY()-500,TODAY()),1,0),""select Col2 limit 200""))"),3424.655)</f>
        <v>3424.655</v>
      </c>
      <c r="F205" s="46" t="str">
        <f t="shared" si="1"/>
        <v>Unconfirmed</v>
      </c>
      <c r="G205" s="48">
        <f t="shared" si="2"/>
        <v>-2.915768158</v>
      </c>
    </row>
    <row r="206">
      <c r="A206" s="52" t="s">
        <v>223</v>
      </c>
      <c r="B206" s="53">
        <f>IFERROR(__xludf.DUMMYFUNCTION("GOOGLEFINANCE(A206,""price"")"),81.29)</f>
        <v>81.29</v>
      </c>
      <c r="C206" s="54">
        <f>IFERROR(__xludf.DUMMYFUNCTION("AVERAGE(QUERY(SORT(GOOGLEFINANCE(A206,""price"",TODAY()-150,TODAY()),1,0),""select Col2 limit 50""))"),81.6256)</f>
        <v>81.6256</v>
      </c>
      <c r="D206" s="54">
        <f>IFERROR(__xludf.DUMMYFUNCTION("AVERAGE(QUERY(SORT(GOOGLEFINANCE(A206,""price"",TODAY()-300,TODAY()),1,0),""select Col2 limit 100""))"),78.59700000000001)</f>
        <v>78.597</v>
      </c>
      <c r="E206" s="54">
        <f>IFERROR(__xludf.DUMMYFUNCTION("AVERAGE(QUERY(SORT(GOOGLEFINANCE(A206,""price"",TODAY()-500,TODAY()),1,0),""select Col2 limit 200""))"),75.16390000000003)</f>
        <v>75.1639</v>
      </c>
      <c r="F206" s="46" t="str">
        <f t="shared" si="1"/>
        <v>Unconfirmed</v>
      </c>
      <c r="G206" s="48">
        <f t="shared" si="2"/>
        <v>8.150322163</v>
      </c>
    </row>
    <row r="207">
      <c r="A207" s="52" t="s">
        <v>224</v>
      </c>
      <c r="B207" s="53">
        <f>IFERROR(__xludf.DUMMYFUNCTION("GOOGLEFINANCE(A207,""price"")"),623.3)</f>
        <v>623.3</v>
      </c>
      <c r="C207" s="54">
        <f>IFERROR(__xludf.DUMMYFUNCTION("AVERAGE(QUERY(SORT(GOOGLEFINANCE(A207,""price"",TODAY()-150,TODAY()),1,0),""select Col2 limit 50""))"),740.9720000000001)</f>
        <v>740.972</v>
      </c>
      <c r="D207" s="54">
        <f>IFERROR(__xludf.DUMMYFUNCTION("AVERAGE(QUERY(SORT(GOOGLEFINANCE(A207,""price"",TODAY()-300,TODAY()),1,0),""select Col2 limit 100""))"),734.0134999999998)</f>
        <v>734.0135</v>
      </c>
      <c r="E207" s="54">
        <f>IFERROR(__xludf.DUMMYFUNCTION("AVERAGE(QUERY(SORT(GOOGLEFINANCE(A207,""price"",TODAY()-500,TODAY()),1,0),""select Col2 limit 200""))"),704.847)</f>
        <v>704.847</v>
      </c>
      <c r="F207" s="46" t="str">
        <f t="shared" si="1"/>
        <v>Unconfirmed</v>
      </c>
      <c r="G207" s="48">
        <f t="shared" si="2"/>
        <v>-11.56946117</v>
      </c>
    </row>
    <row r="208">
      <c r="A208" s="52" t="s">
        <v>225</v>
      </c>
      <c r="B208" s="53" t="str">
        <f>IFERROR(__xludf.DUMMYFUNCTION("GOOGLEFINANCE(A208,""price"")"),"#N/A")</f>
        <v>#N/A</v>
      </c>
      <c r="C208" s="54" t="str">
        <f>IFERROR(__xludf.DUMMYFUNCTION("AVERAGE(QUERY(SORT(GOOGLEFINANCE(A208,""price"",TODAY()-150,TODAY()),1,0),""select Col2 limit 50""))"),"#N/A")</f>
        <v>#N/A</v>
      </c>
      <c r="D208" s="54" t="str">
        <f>IFERROR(__xludf.DUMMYFUNCTION("AVERAGE(QUERY(SORT(GOOGLEFINANCE(A208,""price"",TODAY()-300,TODAY()),1,0),""select Col2 limit 100""))"),"#N/A")</f>
        <v>#N/A</v>
      </c>
      <c r="E208" s="54" t="str">
        <f>IFERROR(__xludf.DUMMYFUNCTION("AVERAGE(QUERY(SORT(GOOGLEFINANCE(A208,""price"",TODAY()-500,TODAY()),1,0),""select Col2 limit 200""))"),"#N/A")</f>
        <v>#N/A</v>
      </c>
      <c r="F208" s="46" t="str">
        <f t="shared" si="1"/>
        <v>#N/A</v>
      </c>
      <c r="G208" s="48" t="str">
        <f t="shared" si="2"/>
        <v>#N/A</v>
      </c>
    </row>
    <row r="209">
      <c r="A209" s="52" t="s">
        <v>226</v>
      </c>
      <c r="B209" s="53">
        <f>IFERROR(__xludf.DUMMYFUNCTION("GOOGLEFINANCE(A209,""price"")"),72.16)</f>
        <v>72.16</v>
      </c>
      <c r="C209" s="54">
        <f>IFERROR(__xludf.DUMMYFUNCTION("AVERAGE(QUERY(SORT(GOOGLEFINANCE(A209,""price"",TODAY()-150,TODAY()),1,0),""select Col2 limit 50""))"),64.88320000000002)</f>
        <v>64.8832</v>
      </c>
      <c r="D209" s="54">
        <f>IFERROR(__xludf.DUMMYFUNCTION("AVERAGE(QUERY(SORT(GOOGLEFINANCE(A209,""price"",TODAY()-300,TODAY()),1,0),""select Col2 limit 100""))"),61.529500000000006)</f>
        <v>61.5295</v>
      </c>
      <c r="E209" s="54">
        <f>IFERROR(__xludf.DUMMYFUNCTION("AVERAGE(QUERY(SORT(GOOGLEFINANCE(A209,""price"",TODAY()-500,TODAY()),1,0),""select Col2 limit 200""))"),58.223050000000015)</f>
        <v>58.22305</v>
      </c>
      <c r="F209" s="46" t="str">
        <f t="shared" si="1"/>
        <v>Unconfirmed</v>
      </c>
      <c r="G209" s="48">
        <f t="shared" si="2"/>
        <v>23.93716921</v>
      </c>
    </row>
    <row r="210">
      <c r="A210" s="52" t="s">
        <v>227</v>
      </c>
      <c r="B210" s="53">
        <f>IFERROR(__xludf.DUMMYFUNCTION("GOOGLEFINANCE(A210,""price"")"),1650.0)</f>
        <v>1650</v>
      </c>
      <c r="C210" s="54">
        <f>IFERROR(__xludf.DUMMYFUNCTION("AVERAGE(QUERY(SORT(GOOGLEFINANCE(A210,""price"",TODAY()-150,TODAY()),1,0),""select Col2 limit 50""))"),1787.1119999999996)</f>
        <v>1787.112</v>
      </c>
      <c r="D210" s="54">
        <f>IFERROR(__xludf.DUMMYFUNCTION("AVERAGE(QUERY(SORT(GOOGLEFINANCE(A210,""price"",TODAY()-300,TODAY()),1,0),""select Col2 limit 100""))"),1749.031999999999)</f>
        <v>1749.032</v>
      </c>
      <c r="E210" s="54">
        <f>IFERROR(__xludf.DUMMYFUNCTION("AVERAGE(QUERY(SORT(GOOGLEFINANCE(A210,""price"",TODAY()-500,TODAY()),1,0),""select Col2 limit 200""))"),1648.7194999999992)</f>
        <v>1648.7195</v>
      </c>
      <c r="F210" s="46" t="str">
        <f t="shared" si="1"/>
        <v>Unconfirmed</v>
      </c>
      <c r="G210" s="48">
        <f t="shared" si="2"/>
        <v>0.07766633439</v>
      </c>
    </row>
    <row r="211">
      <c r="A211" s="52" t="s">
        <v>228</v>
      </c>
      <c r="B211" s="53">
        <f>IFERROR(__xludf.DUMMYFUNCTION("GOOGLEFINANCE(A211,""price"")"),376.0)</f>
        <v>376</v>
      </c>
      <c r="C211" s="54">
        <f>IFERROR(__xludf.DUMMYFUNCTION("AVERAGE(QUERY(SORT(GOOGLEFINANCE(A211,""price"",TODAY()-150,TODAY()),1,0),""select Col2 limit 50""))"),370.2690000000002)</f>
        <v>370.269</v>
      </c>
      <c r="D211" s="54">
        <f>IFERROR(__xludf.DUMMYFUNCTION("AVERAGE(QUERY(SORT(GOOGLEFINANCE(A211,""price"",TODAY()-300,TODAY()),1,0),""select Col2 limit 100""))"),363.074)</f>
        <v>363.074</v>
      </c>
      <c r="E211" s="54">
        <f>IFERROR(__xludf.DUMMYFUNCTION("AVERAGE(QUERY(SORT(GOOGLEFINANCE(A211,""price"",TODAY()-500,TODAY()),1,0),""select Col2 limit 200""))"),344.0159999999998)</f>
        <v>344.016</v>
      </c>
      <c r="F211" s="46" t="str">
        <f t="shared" si="1"/>
        <v>In Bull Run</v>
      </c>
      <c r="G211" s="48">
        <f t="shared" si="2"/>
        <v>9.297241989</v>
      </c>
    </row>
    <row r="212">
      <c r="A212" s="52" t="s">
        <v>229</v>
      </c>
      <c r="B212" s="53">
        <f>IFERROR(__xludf.DUMMYFUNCTION("GOOGLEFINANCE(A212,""price"")"),2224.0)</f>
        <v>2224</v>
      </c>
      <c r="C212" s="54">
        <f>IFERROR(__xludf.DUMMYFUNCTION("AVERAGE(QUERY(SORT(GOOGLEFINANCE(A212,""price"",TODAY()-150,TODAY()),1,0),""select Col2 limit 50""))"),2047.6319999999998)</f>
        <v>2047.632</v>
      </c>
      <c r="D212" s="54">
        <f>IFERROR(__xludf.DUMMYFUNCTION("AVERAGE(QUERY(SORT(GOOGLEFINANCE(A212,""price"",TODAY()-300,TODAY()),1,0),""select Col2 limit 100""))"),1899.9850000000004)</f>
        <v>1899.985</v>
      </c>
      <c r="E212" s="54">
        <f>IFERROR(__xludf.DUMMYFUNCTION("AVERAGE(QUERY(SORT(GOOGLEFINANCE(A212,""price"",TODAY()-500,TODAY()),1,0),""select Col2 limit 200""))"),1807.2370000000012)</f>
        <v>1807.237</v>
      </c>
      <c r="F212" s="46" t="str">
        <f t="shared" si="1"/>
        <v>Unconfirmed</v>
      </c>
      <c r="G212" s="48">
        <f t="shared" si="2"/>
        <v>23.06078284</v>
      </c>
    </row>
    <row r="213">
      <c r="A213" s="52" t="s">
        <v>230</v>
      </c>
      <c r="B213" s="53">
        <f>IFERROR(__xludf.DUMMYFUNCTION("GOOGLEFINANCE(A213,""price"")"),165.61)</f>
        <v>165.61</v>
      </c>
      <c r="C213" s="54">
        <f>IFERROR(__xludf.DUMMYFUNCTION("AVERAGE(QUERY(SORT(GOOGLEFINANCE(A213,""price"",TODAY()-150,TODAY()),1,0),""select Col2 limit 50""))"),150.95420000000001)</f>
        <v>150.9542</v>
      </c>
      <c r="D213" s="54">
        <f>IFERROR(__xludf.DUMMYFUNCTION("AVERAGE(QUERY(SORT(GOOGLEFINANCE(A213,""price"",TODAY()-300,TODAY()),1,0),""select Col2 limit 100""))"),142.71689999999992)</f>
        <v>142.7169</v>
      </c>
      <c r="E213" s="54">
        <f>IFERROR(__xludf.DUMMYFUNCTION("AVERAGE(QUERY(SORT(GOOGLEFINANCE(A213,""price"",TODAY()-500,TODAY()),1,0),""select Col2 limit 200""))"),136.01349999999996)</f>
        <v>136.0135</v>
      </c>
      <c r="F213" s="46" t="str">
        <f t="shared" si="1"/>
        <v>Unconfirmed</v>
      </c>
      <c r="G213" s="48">
        <f t="shared" si="2"/>
        <v>21.75997236</v>
      </c>
    </row>
    <row r="214">
      <c r="A214" s="52" t="s">
        <v>231</v>
      </c>
      <c r="B214" s="53">
        <f>IFERROR(__xludf.DUMMYFUNCTION("GOOGLEFINANCE(A214,""price"")"),36000.0)</f>
        <v>36000</v>
      </c>
      <c r="C214" s="54">
        <f>IFERROR(__xludf.DUMMYFUNCTION("AVERAGE(QUERY(SORT(GOOGLEFINANCE(A214,""price"",TODAY()-150,TODAY()),1,0),""select Col2 limit 50""))"),35347.3)</f>
        <v>35347.3</v>
      </c>
      <c r="D214" s="54">
        <f>IFERROR(__xludf.DUMMYFUNCTION("AVERAGE(QUERY(SORT(GOOGLEFINANCE(A214,""price"",TODAY()-300,TODAY()),1,0),""select Col2 limit 100""))"),34250.8)</f>
        <v>34250.8</v>
      </c>
      <c r="E214" s="54">
        <f>IFERROR(__xludf.DUMMYFUNCTION("AVERAGE(QUERY(SORT(GOOGLEFINANCE(A214,""price"",TODAY()-500,TODAY()),1,0),""select Col2 limit 200""))"),32107.625)</f>
        <v>32107.625</v>
      </c>
      <c r="F214" s="46" t="str">
        <f t="shared" si="1"/>
        <v>Unconfirmed</v>
      </c>
      <c r="G214" s="48">
        <f t="shared" si="2"/>
        <v>12.12289916</v>
      </c>
    </row>
    <row r="215">
      <c r="A215" s="52" t="s">
        <v>232</v>
      </c>
      <c r="B215" s="53">
        <f>IFERROR(__xludf.DUMMYFUNCTION("GOOGLEFINANCE(A215,""price"")"),1189.5)</f>
        <v>1189.5</v>
      </c>
      <c r="C215" s="54">
        <f>IFERROR(__xludf.DUMMYFUNCTION("AVERAGE(QUERY(SORT(GOOGLEFINANCE(A215,""price"",TODAY()-150,TODAY()),1,0),""select Col2 limit 50""))"),1076.1350000000002)</f>
        <v>1076.135</v>
      </c>
      <c r="D215" s="54">
        <f>IFERROR(__xludf.DUMMYFUNCTION("AVERAGE(QUERY(SORT(GOOGLEFINANCE(A215,""price"",TODAY()-300,TODAY()),1,0),""select Col2 limit 100""))"),1008.8725000000006)</f>
        <v>1008.8725</v>
      </c>
      <c r="E215" s="54">
        <f>IFERROR(__xludf.DUMMYFUNCTION("AVERAGE(QUERY(SORT(GOOGLEFINANCE(A215,""price"",TODAY()-500,TODAY()),1,0),""select Col2 limit 200""))"),912.20575)</f>
        <v>912.20575</v>
      </c>
      <c r="F215" s="46" t="str">
        <f t="shared" si="1"/>
        <v>Unconfirmed</v>
      </c>
      <c r="G215" s="48">
        <f t="shared" si="2"/>
        <v>30.39821334</v>
      </c>
    </row>
    <row r="216">
      <c r="A216" s="52" t="s">
        <v>233</v>
      </c>
      <c r="B216" s="53">
        <f>IFERROR(__xludf.DUMMYFUNCTION("GOOGLEFINANCE(A216,""price"")"),96.7)</f>
        <v>96.7</v>
      </c>
      <c r="C216" s="54">
        <f>IFERROR(__xludf.DUMMYFUNCTION("AVERAGE(QUERY(SORT(GOOGLEFINANCE(A216,""price"",TODAY()-150,TODAY()),1,0),""select Col2 limit 50""))"),99.41879999999999)</f>
        <v>99.4188</v>
      </c>
      <c r="D216" s="54">
        <f>IFERROR(__xludf.DUMMYFUNCTION("AVERAGE(QUERY(SORT(GOOGLEFINANCE(A216,""price"",TODAY()-300,TODAY()),1,0),""select Col2 limit 100""))"),98.4745)</f>
        <v>98.4745</v>
      </c>
      <c r="E216" s="54">
        <f>IFERROR(__xludf.DUMMYFUNCTION("AVERAGE(QUERY(SORT(GOOGLEFINANCE(A216,""price"",TODAY()-500,TODAY()),1,0),""select Col2 limit 200""))"),93.32875000000001)</f>
        <v>93.32875</v>
      </c>
      <c r="F216" s="46" t="str">
        <f t="shared" si="1"/>
        <v>Unconfirmed</v>
      </c>
      <c r="G216" s="48">
        <f t="shared" si="2"/>
        <v>3.612230958</v>
      </c>
    </row>
    <row r="217">
      <c r="A217" s="52" t="s">
        <v>234</v>
      </c>
      <c r="B217" s="53">
        <f>IFERROR(__xludf.DUMMYFUNCTION("GOOGLEFINANCE(A217,""price"")"),1887.0)</f>
        <v>1887</v>
      </c>
      <c r="C217" s="54">
        <f>IFERROR(__xludf.DUMMYFUNCTION("AVERAGE(QUERY(SORT(GOOGLEFINANCE(A217,""price"",TODAY()-150,TODAY()),1,0),""select Col2 limit 50""))"),1561.03)</f>
        <v>1561.03</v>
      </c>
      <c r="D217" s="54">
        <f>IFERROR(__xludf.DUMMYFUNCTION("AVERAGE(QUERY(SORT(GOOGLEFINANCE(A217,""price"",TODAY()-300,TODAY()),1,0),""select Col2 limit 100""))"),1454.068)</f>
        <v>1454.068</v>
      </c>
      <c r="E217" s="54">
        <f>IFERROR(__xludf.DUMMYFUNCTION("AVERAGE(QUERY(SORT(GOOGLEFINANCE(A217,""price"",TODAY()-500,TODAY()),1,0),""select Col2 limit 200""))"),1340.8300000000006)</f>
        <v>1340.83</v>
      </c>
      <c r="F217" s="46" t="str">
        <f t="shared" si="1"/>
        <v>Unconfirmed</v>
      </c>
      <c r="G217" s="48">
        <f t="shared" si="2"/>
        <v>40.73372463</v>
      </c>
    </row>
    <row r="218">
      <c r="A218" s="52" t="s">
        <v>235</v>
      </c>
      <c r="B218" s="53">
        <f>IFERROR(__xludf.DUMMYFUNCTION("GOOGLEFINANCE(A218,""price"")"),138.1)</f>
        <v>138.1</v>
      </c>
      <c r="C218" s="54">
        <f>IFERROR(__xludf.DUMMYFUNCTION("AVERAGE(QUERY(SORT(GOOGLEFINANCE(A218,""price"",TODAY()-150,TODAY()),1,0),""select Col2 limit 50""))"),142.99380000000002)</f>
        <v>142.9938</v>
      </c>
      <c r="D218" s="54">
        <f>IFERROR(__xludf.DUMMYFUNCTION("AVERAGE(QUERY(SORT(GOOGLEFINANCE(A218,""price"",TODAY()-300,TODAY()),1,0),""select Col2 limit 100""))"),147.5628)</f>
        <v>147.5628</v>
      </c>
      <c r="E218" s="54">
        <f>IFERROR(__xludf.DUMMYFUNCTION("AVERAGE(QUERY(SORT(GOOGLEFINANCE(A218,""price"",TODAY()-500,TODAY()),1,0),""select Col2 limit 200""))"),134.09404999999998)</f>
        <v>134.09405</v>
      </c>
      <c r="F218" s="46" t="str">
        <f t="shared" si="1"/>
        <v>Unconfirmed</v>
      </c>
      <c r="G218" s="48">
        <f t="shared" si="2"/>
        <v>2.987418159</v>
      </c>
    </row>
    <row r="219">
      <c r="A219" s="52" t="s">
        <v>236</v>
      </c>
      <c r="B219" s="53">
        <f>IFERROR(__xludf.DUMMYFUNCTION("GOOGLEFINANCE(A219,""price"")"),425.3)</f>
        <v>425.3</v>
      </c>
      <c r="C219" s="54">
        <f>IFERROR(__xludf.DUMMYFUNCTION("AVERAGE(QUERY(SORT(GOOGLEFINANCE(A219,""price"",TODAY()-150,TODAY()),1,0),""select Col2 limit 50""))"),454.336)</f>
        <v>454.336</v>
      </c>
      <c r="D219" s="54">
        <f>IFERROR(__xludf.DUMMYFUNCTION("AVERAGE(QUERY(SORT(GOOGLEFINANCE(A219,""price"",TODAY()-300,TODAY()),1,0),""select Col2 limit 100""))"),458.36750000000006)</f>
        <v>458.3675</v>
      </c>
      <c r="E219" s="54">
        <f>IFERROR(__xludf.DUMMYFUNCTION("AVERAGE(QUERY(SORT(GOOGLEFINANCE(A219,""price"",TODAY()-500,TODAY()),1,0),""select Col2 limit 200""))"),435.20950000000016)</f>
        <v>435.2095</v>
      </c>
      <c r="F219" s="46" t="str">
        <f t="shared" si="1"/>
        <v>Unconfirmed</v>
      </c>
      <c r="G219" s="48">
        <f t="shared" si="2"/>
        <v>-2.276949377</v>
      </c>
    </row>
    <row r="220">
      <c r="A220" s="52" t="s">
        <v>237</v>
      </c>
      <c r="B220" s="53">
        <f>IFERROR(__xludf.DUMMYFUNCTION("GOOGLEFINANCE(A220,""price"")"),972.4)</f>
        <v>972.4</v>
      </c>
      <c r="C220" s="54">
        <f>IFERROR(__xludf.DUMMYFUNCTION("AVERAGE(QUERY(SORT(GOOGLEFINANCE(A220,""price"",TODAY()-150,TODAY()),1,0),""select Col2 limit 50""))"),980.0020000000003)</f>
        <v>980.002</v>
      </c>
      <c r="D220" s="54">
        <f>IFERROR(__xludf.DUMMYFUNCTION("AVERAGE(QUERY(SORT(GOOGLEFINANCE(A220,""price"",TODAY()-300,TODAY()),1,0),""select Col2 limit 100""))"),975.9359999999998)</f>
        <v>975.936</v>
      </c>
      <c r="E220" s="54">
        <f>IFERROR(__xludf.DUMMYFUNCTION("AVERAGE(QUERY(SORT(GOOGLEFINANCE(A220,""price"",TODAY()-500,TODAY()),1,0),""select Col2 limit 200""))"),912.0314999999998)</f>
        <v>912.0315</v>
      </c>
      <c r="F220" s="46" t="str">
        <f t="shared" si="1"/>
        <v>Unconfirmed</v>
      </c>
      <c r="G220" s="48">
        <f t="shared" si="2"/>
        <v>6.619124449</v>
      </c>
    </row>
    <row r="221">
      <c r="A221" s="52" t="s">
        <v>238</v>
      </c>
      <c r="B221" s="53">
        <f>IFERROR(__xludf.DUMMYFUNCTION("GOOGLEFINANCE(A221,""price"")"),262.1)</f>
        <v>262.1</v>
      </c>
      <c r="C221" s="54">
        <f>IFERROR(__xludf.DUMMYFUNCTION("AVERAGE(QUERY(SORT(GOOGLEFINANCE(A221,""price"",TODAY()-150,TODAY()),1,0),""select Col2 limit 50""))"),269.02899999999994)</f>
        <v>269.029</v>
      </c>
      <c r="D221" s="54">
        <f>IFERROR(__xludf.DUMMYFUNCTION("AVERAGE(QUERY(SORT(GOOGLEFINANCE(A221,""price"",TODAY()-300,TODAY()),1,0),""select Col2 limit 100""))"),267.2486999999999)</f>
        <v>267.2487</v>
      </c>
      <c r="E221" s="54">
        <f>IFERROR(__xludf.DUMMYFUNCTION("AVERAGE(QUERY(SORT(GOOGLEFINANCE(A221,""price"",TODAY()-500,TODAY()),1,0),""select Col2 limit 200""))"),254.72114999999994)</f>
        <v>254.72115</v>
      </c>
      <c r="F221" s="46" t="str">
        <f t="shared" si="1"/>
        <v>Unconfirmed</v>
      </c>
      <c r="G221" s="48">
        <f t="shared" si="2"/>
        <v>2.89683444</v>
      </c>
    </row>
    <row r="222">
      <c r="A222" s="52" t="s">
        <v>239</v>
      </c>
      <c r="B222" s="53">
        <f>IFERROR(__xludf.DUMMYFUNCTION("GOOGLEFINANCE(A222,""price"")"),315.85)</f>
        <v>315.85</v>
      </c>
      <c r="C222" s="54">
        <f>IFERROR(__xludf.DUMMYFUNCTION("AVERAGE(QUERY(SORT(GOOGLEFINANCE(A222,""price"",TODAY()-150,TODAY()),1,0),""select Col2 limit 50""))"),299.7939999999999)</f>
        <v>299.794</v>
      </c>
      <c r="D222" s="54">
        <f>IFERROR(__xludf.DUMMYFUNCTION("AVERAGE(QUERY(SORT(GOOGLEFINANCE(A222,""price"",TODAY()-300,TODAY()),1,0),""select Col2 limit 100""))"),290.3375000000001)</f>
        <v>290.3375</v>
      </c>
      <c r="E222" s="54">
        <f>IFERROR(__xludf.DUMMYFUNCTION("AVERAGE(QUERY(SORT(GOOGLEFINANCE(A222,""price"",TODAY()-500,TODAY()),1,0),""select Col2 limit 200""))"),266.6011500000001)</f>
        <v>266.60115</v>
      </c>
      <c r="F222" s="46" t="str">
        <f t="shared" si="1"/>
        <v>Unconfirmed</v>
      </c>
      <c r="G222" s="48">
        <f t="shared" si="2"/>
        <v>18.4728573</v>
      </c>
    </row>
    <row r="223">
      <c r="A223" s="52" t="s">
        <v>240</v>
      </c>
      <c r="B223" s="53">
        <f>IFERROR(__xludf.DUMMYFUNCTION("GOOGLEFINANCE(A223,""price"")"),5220.0)</f>
        <v>5220</v>
      </c>
      <c r="C223" s="54">
        <f>IFERROR(__xludf.DUMMYFUNCTION("AVERAGE(QUERY(SORT(GOOGLEFINANCE(A223,""price"",TODAY()-150,TODAY()),1,0),""select Col2 limit 50""))"),4423.978)</f>
        <v>4423.978</v>
      </c>
      <c r="D223" s="54">
        <f>IFERROR(__xludf.DUMMYFUNCTION("AVERAGE(QUERY(SORT(GOOGLEFINANCE(A223,""price"",TODAY()-300,TODAY()),1,0),""select Col2 limit 100""))"),4273.993999999998)</f>
        <v>4273.994</v>
      </c>
      <c r="E223" s="54">
        <f>IFERROR(__xludf.DUMMYFUNCTION("AVERAGE(QUERY(SORT(GOOGLEFINANCE(A223,""price"",TODAY()-500,TODAY()),1,0),""select Col2 limit 200""))"),4056.493500000001)</f>
        <v>4056.4935</v>
      </c>
      <c r="F223" s="46" t="str">
        <f t="shared" si="1"/>
        <v>Unconfirmed</v>
      </c>
      <c r="G223" s="48">
        <f t="shared" si="2"/>
        <v>28.68256784</v>
      </c>
    </row>
    <row r="224">
      <c r="A224" s="52" t="s">
        <v>241</v>
      </c>
      <c r="B224" s="53">
        <f>IFERROR(__xludf.DUMMYFUNCTION("GOOGLEFINANCE(A224,""price"")"),71.85)</f>
        <v>71.85</v>
      </c>
      <c r="C224" s="54">
        <f>IFERROR(__xludf.DUMMYFUNCTION("AVERAGE(QUERY(SORT(GOOGLEFINANCE(A224,""price"",TODAY()-150,TODAY()),1,0),""select Col2 limit 50""))"),82.51960000000001)</f>
        <v>82.5196</v>
      </c>
      <c r="D224" s="54">
        <f>IFERROR(__xludf.DUMMYFUNCTION("AVERAGE(QUERY(SORT(GOOGLEFINANCE(A224,""price"",TODAY()-300,TODAY()),1,0),""select Col2 limit 100""))"),80.7286)</f>
        <v>80.7286</v>
      </c>
      <c r="E224" s="54">
        <f>IFERROR(__xludf.DUMMYFUNCTION("AVERAGE(QUERY(SORT(GOOGLEFINANCE(A224,""price"",TODAY()-500,TODAY()),1,0),""select Col2 limit 200""))"),75.82350000000004)</f>
        <v>75.8235</v>
      </c>
      <c r="F224" s="46" t="str">
        <f t="shared" si="1"/>
        <v>Unconfirmed</v>
      </c>
      <c r="G224" s="48">
        <f t="shared" si="2"/>
        <v>-5.240459752</v>
      </c>
    </row>
    <row r="225">
      <c r="A225" s="52" t="s">
        <v>242</v>
      </c>
      <c r="B225" s="53">
        <f>IFERROR(__xludf.DUMMYFUNCTION("GOOGLEFINANCE(A225,""price"")"),261.0)</f>
        <v>261</v>
      </c>
      <c r="C225" s="54">
        <f>IFERROR(__xludf.DUMMYFUNCTION("AVERAGE(QUERY(SORT(GOOGLEFINANCE(A225,""price"",TODAY()-150,TODAY()),1,0),""select Col2 limit 50""))"),258.44519999999994)</f>
        <v>258.4452</v>
      </c>
      <c r="D225" s="54">
        <f>IFERROR(__xludf.DUMMYFUNCTION("AVERAGE(QUERY(SORT(GOOGLEFINANCE(A225,""price"",TODAY()-300,TODAY()),1,0),""select Col2 limit 100""))"),258.3251000000001)</f>
        <v>258.3251</v>
      </c>
      <c r="E225" s="54">
        <f>IFERROR(__xludf.DUMMYFUNCTION("AVERAGE(QUERY(SORT(GOOGLEFINANCE(A225,""price"",TODAY()-500,TODAY()),1,0),""select Col2 limit 200""))"),237.14510000000007)</f>
        <v>237.1451</v>
      </c>
      <c r="F225" s="46" t="str">
        <f t="shared" si="1"/>
        <v>Unconfirmed</v>
      </c>
      <c r="G225" s="48">
        <f t="shared" si="2"/>
        <v>10.05920004</v>
      </c>
    </row>
    <row r="226">
      <c r="A226" s="52" t="s">
        <v>243</v>
      </c>
      <c r="B226" s="53">
        <f>IFERROR(__xludf.DUMMYFUNCTION("GOOGLEFINANCE(A226,""price"")"),128.66)</f>
        <v>128.66</v>
      </c>
      <c r="C226" s="54">
        <f>IFERROR(__xludf.DUMMYFUNCTION("AVERAGE(QUERY(SORT(GOOGLEFINANCE(A226,""price"",TODAY()-150,TODAY()),1,0),""select Col2 limit 50""))"),121.40019999999998)</f>
        <v>121.4002</v>
      </c>
      <c r="D226" s="54">
        <f>IFERROR(__xludf.DUMMYFUNCTION("AVERAGE(QUERY(SORT(GOOGLEFINANCE(A226,""price"",TODAY()-300,TODAY()),1,0),""select Col2 limit 100""))"),115.7098)</f>
        <v>115.7098</v>
      </c>
      <c r="E226" s="54">
        <f>IFERROR(__xludf.DUMMYFUNCTION("AVERAGE(QUERY(SORT(GOOGLEFINANCE(A226,""price"",TODAY()-500,TODAY()),1,0),""select Col2 limit 200""))"),108.18975000000006)</f>
        <v>108.18975</v>
      </c>
      <c r="F226" s="46" t="str">
        <f t="shared" si="1"/>
        <v>Unconfirmed</v>
      </c>
      <c r="G226" s="48">
        <f t="shared" si="2"/>
        <v>18.92069258</v>
      </c>
    </row>
    <row r="227">
      <c r="A227" s="52" t="s">
        <v>244</v>
      </c>
      <c r="B227" s="53">
        <f>IFERROR(__xludf.DUMMYFUNCTION("GOOGLEFINANCE(A227,""price"")"),172.5)</f>
        <v>172.5</v>
      </c>
      <c r="C227" s="54">
        <f>IFERROR(__xludf.DUMMYFUNCTION("AVERAGE(QUERY(SORT(GOOGLEFINANCE(A227,""price"",TODAY()-150,TODAY()),1,0),""select Col2 limit 50""))"),158.25920000000005)</f>
        <v>158.2592</v>
      </c>
      <c r="D227" s="54">
        <f>IFERROR(__xludf.DUMMYFUNCTION("AVERAGE(QUERY(SORT(GOOGLEFINANCE(A227,""price"",TODAY()-300,TODAY()),1,0),""select Col2 limit 100""))"),148.83800000000002)</f>
        <v>148.838</v>
      </c>
      <c r="E227" s="54">
        <f>IFERROR(__xludf.DUMMYFUNCTION("AVERAGE(QUERY(SORT(GOOGLEFINANCE(A227,""price"",TODAY()-500,TODAY()),1,0),""select Col2 limit 200""))"),132.91115000000005)</f>
        <v>132.91115</v>
      </c>
      <c r="F227" s="46" t="str">
        <f t="shared" si="1"/>
        <v>Unconfirmed</v>
      </c>
      <c r="G227" s="48">
        <f t="shared" si="2"/>
        <v>29.78595099</v>
      </c>
    </row>
    <row r="228">
      <c r="A228" s="52" t="s">
        <v>245</v>
      </c>
      <c r="B228" s="53">
        <f>IFERROR(__xludf.DUMMYFUNCTION("GOOGLEFINANCE(A228,""price"")"),7809.0)</f>
        <v>7809</v>
      </c>
      <c r="C228" s="54">
        <f>IFERROR(__xludf.DUMMYFUNCTION("AVERAGE(QUERY(SORT(GOOGLEFINANCE(A228,""price"",TODAY()-150,TODAY()),1,0),""select Col2 limit 50""))"),7465.24)</f>
        <v>7465.24</v>
      </c>
      <c r="D228" s="54">
        <f>IFERROR(__xludf.DUMMYFUNCTION("AVERAGE(QUERY(SORT(GOOGLEFINANCE(A228,""price"",TODAY()-300,TODAY()),1,0),""select Col2 limit 100""))"),7234.57)</f>
        <v>7234.57</v>
      </c>
      <c r="E228" s="54">
        <f>IFERROR(__xludf.DUMMYFUNCTION("AVERAGE(QUERY(SORT(GOOGLEFINANCE(A228,""price"",TODAY()-500,TODAY()),1,0),""select Col2 limit 200""))"),6560.9775)</f>
        <v>6560.9775</v>
      </c>
      <c r="F228" s="46" t="str">
        <f t="shared" si="1"/>
        <v>Unconfirmed</v>
      </c>
      <c r="G228" s="48">
        <f t="shared" si="2"/>
        <v>19.02189879</v>
      </c>
    </row>
    <row r="229">
      <c r="A229" s="52" t="s">
        <v>246</v>
      </c>
      <c r="B229" s="53">
        <f>IFERROR(__xludf.DUMMYFUNCTION("GOOGLEFINANCE(A229,""price"")"),14368.0)</f>
        <v>14368</v>
      </c>
      <c r="C229" s="54">
        <f>IFERROR(__xludf.DUMMYFUNCTION("AVERAGE(QUERY(SORT(GOOGLEFINANCE(A229,""price"",TODAY()-150,TODAY()),1,0),""select Col2 limit 50""))"),15714.6)</f>
        <v>15714.6</v>
      </c>
      <c r="D229" s="54">
        <f>IFERROR(__xludf.DUMMYFUNCTION("AVERAGE(QUERY(SORT(GOOGLEFINANCE(A229,""price"",TODAY()-300,TODAY()),1,0),""select Col2 limit 100""))"),15886.41)</f>
        <v>15886.41</v>
      </c>
      <c r="E229" s="54">
        <f>IFERROR(__xludf.DUMMYFUNCTION("AVERAGE(QUERY(SORT(GOOGLEFINANCE(A229,""price"",TODAY()-500,TODAY()),1,0),""select Col2 limit 200""))"),14679.105)</f>
        <v>14679.105</v>
      </c>
      <c r="F229" s="46" t="str">
        <f t="shared" si="1"/>
        <v>Unconfirmed</v>
      </c>
      <c r="G229" s="48">
        <f t="shared" si="2"/>
        <v>-2.119373082</v>
      </c>
    </row>
    <row r="230">
      <c r="A230" s="52" t="s">
        <v>247</v>
      </c>
      <c r="B230" s="53">
        <f>IFERROR(__xludf.DUMMYFUNCTION("GOOGLEFINANCE(A230,""price"")"),785.55)</f>
        <v>785.55</v>
      </c>
      <c r="C230" s="54">
        <f>IFERROR(__xludf.DUMMYFUNCTION("AVERAGE(QUERY(SORT(GOOGLEFINANCE(A230,""price"",TODAY()-150,TODAY()),1,0),""select Col2 limit 50""))"),795.413)</f>
        <v>795.413</v>
      </c>
      <c r="D230" s="54">
        <f>IFERROR(__xludf.DUMMYFUNCTION("AVERAGE(QUERY(SORT(GOOGLEFINANCE(A230,""price"",TODAY()-300,TODAY()),1,0),""select Col2 limit 100""))"),781.6230000000003)</f>
        <v>781.623</v>
      </c>
      <c r="E230" s="54">
        <f>IFERROR(__xludf.DUMMYFUNCTION("AVERAGE(QUERY(SORT(GOOGLEFINANCE(A230,""price"",TODAY()-500,TODAY()),1,0),""select Col2 limit 200""))"),746.9162500000003)</f>
        <v>746.91625</v>
      </c>
      <c r="F230" s="46" t="str">
        <f t="shared" si="1"/>
        <v>Unconfirmed</v>
      </c>
      <c r="G230" s="48">
        <f t="shared" si="2"/>
        <v>5.172433991</v>
      </c>
    </row>
    <row r="231">
      <c r="A231" s="52" t="s">
        <v>248</v>
      </c>
      <c r="B231" s="53">
        <f>IFERROR(__xludf.DUMMYFUNCTION("GOOGLEFINANCE(A231,""price"")"),1059.4)</f>
        <v>1059.4</v>
      </c>
      <c r="C231" s="54">
        <f>IFERROR(__xludf.DUMMYFUNCTION("AVERAGE(QUERY(SORT(GOOGLEFINANCE(A231,""price"",TODAY()-150,TODAY()),1,0),""select Col2 limit 50""))"),1227.9540000000002)</f>
        <v>1227.954</v>
      </c>
      <c r="D231" s="54">
        <f>IFERROR(__xludf.DUMMYFUNCTION("AVERAGE(QUERY(SORT(GOOGLEFINANCE(A231,""price"",TODAY()-300,TODAY()),1,0),""select Col2 limit 100""))"),1261.4170000000001)</f>
        <v>1261.417</v>
      </c>
      <c r="E231" s="54">
        <f>IFERROR(__xludf.DUMMYFUNCTION("AVERAGE(QUERY(SORT(GOOGLEFINANCE(A231,""price"",TODAY()-500,TODAY()),1,0),""select Col2 limit 200""))"),1153.7050000000008)</f>
        <v>1153.705</v>
      </c>
      <c r="F231" s="46" t="str">
        <f t="shared" si="1"/>
        <v>Unconfirmed</v>
      </c>
      <c r="G231" s="48">
        <f t="shared" si="2"/>
        <v>-8.174099965</v>
      </c>
    </row>
    <row r="232">
      <c r="A232" s="52" t="s">
        <v>249</v>
      </c>
      <c r="B232" s="53">
        <f>IFERROR(__xludf.DUMMYFUNCTION("GOOGLEFINANCE(A232,""price"")"),5584.0)</f>
        <v>5584</v>
      </c>
      <c r="C232" s="54">
        <f>IFERROR(__xludf.DUMMYFUNCTION("AVERAGE(QUERY(SORT(GOOGLEFINANCE(A232,""price"",TODAY()-150,TODAY()),1,0),""select Col2 limit 50""))"),5678.09)</f>
        <v>5678.09</v>
      </c>
      <c r="D232" s="54">
        <f>IFERROR(__xludf.DUMMYFUNCTION("AVERAGE(QUERY(SORT(GOOGLEFINANCE(A232,""price"",TODAY()-300,TODAY()),1,0),""select Col2 limit 100""))"),5722.41)</f>
        <v>5722.41</v>
      </c>
      <c r="E232" s="54">
        <f>IFERROR(__xludf.DUMMYFUNCTION("AVERAGE(QUERY(SORT(GOOGLEFINANCE(A232,""price"",TODAY()-500,TODAY()),1,0),""select Col2 limit 200""))"),5198.1055)</f>
        <v>5198.1055</v>
      </c>
      <c r="F232" s="46" t="str">
        <f t="shared" si="1"/>
        <v>Unconfirmed</v>
      </c>
      <c r="G232" s="48">
        <f t="shared" si="2"/>
        <v>7.42375275</v>
      </c>
    </row>
    <row r="233">
      <c r="A233" s="52" t="s">
        <v>250</v>
      </c>
      <c r="B233" s="53">
        <f>IFERROR(__xludf.DUMMYFUNCTION("GOOGLEFINANCE(A233,""price"")"),3750.0)</f>
        <v>3750</v>
      </c>
      <c r="C233" s="54">
        <f>IFERROR(__xludf.DUMMYFUNCTION("AVERAGE(QUERY(SORT(GOOGLEFINANCE(A233,""price"",TODAY()-150,TODAY()),1,0),""select Col2 limit 50""))"),3930.298)</f>
        <v>3930.298</v>
      </c>
      <c r="D233" s="54">
        <f>IFERROR(__xludf.DUMMYFUNCTION("AVERAGE(QUERY(SORT(GOOGLEFINANCE(A233,""price"",TODAY()-300,TODAY()),1,0),""select Col2 limit 100""))"),3739.342)</f>
        <v>3739.342</v>
      </c>
      <c r="E233" s="54">
        <f>IFERROR(__xludf.DUMMYFUNCTION("AVERAGE(QUERY(SORT(GOOGLEFINANCE(A233,""price"",TODAY()-500,TODAY()),1,0),""select Col2 limit 200""))"),3492.527)</f>
        <v>3492.527</v>
      </c>
      <c r="F233" s="46" t="str">
        <f t="shared" si="1"/>
        <v>Unconfirmed</v>
      </c>
      <c r="G233" s="48">
        <f t="shared" si="2"/>
        <v>7.372111941</v>
      </c>
    </row>
    <row r="234">
      <c r="A234" s="52" t="s">
        <v>251</v>
      </c>
      <c r="B234" s="53">
        <f>IFERROR(__xludf.DUMMYFUNCTION("GOOGLEFINANCE(A234,""price"")"),974.5)</f>
        <v>974.5</v>
      </c>
      <c r="C234" s="54">
        <f>IFERROR(__xludf.DUMMYFUNCTION("AVERAGE(QUERY(SORT(GOOGLEFINANCE(A234,""price"",TODAY()-150,TODAY()),1,0),""select Col2 limit 50""))"),872.9759999999999)</f>
        <v>872.976</v>
      </c>
      <c r="D234" s="54">
        <f>IFERROR(__xludf.DUMMYFUNCTION("AVERAGE(QUERY(SORT(GOOGLEFINANCE(A234,""price"",TODAY()-300,TODAY()),1,0),""select Col2 limit 100""))"),851.306)</f>
        <v>851.306</v>
      </c>
      <c r="E234" s="54">
        <f>IFERROR(__xludf.DUMMYFUNCTION("AVERAGE(QUERY(SORT(GOOGLEFINANCE(A234,""price"",TODAY()-500,TODAY()),1,0),""select Col2 limit 200""))"),751.0969999999996)</f>
        <v>751.097</v>
      </c>
      <c r="F234" s="46" t="str">
        <f t="shared" si="1"/>
        <v>Unconfirmed</v>
      </c>
      <c r="G234" s="48">
        <f t="shared" si="2"/>
        <v>29.74356175</v>
      </c>
    </row>
    <row r="235">
      <c r="A235" s="52" t="s">
        <v>252</v>
      </c>
      <c r="B235" s="53">
        <f>IFERROR(__xludf.DUMMYFUNCTION("GOOGLEFINANCE(A235,""price"")"),3802.3)</f>
        <v>3802.3</v>
      </c>
      <c r="C235" s="54">
        <f>IFERROR(__xludf.DUMMYFUNCTION("AVERAGE(QUERY(SORT(GOOGLEFINANCE(A235,""price"",TODAY()-150,TODAY()),1,0),""select Col2 limit 50""))"),3746.618000000001)</f>
        <v>3746.618</v>
      </c>
      <c r="D235" s="54">
        <f>IFERROR(__xludf.DUMMYFUNCTION("AVERAGE(QUERY(SORT(GOOGLEFINANCE(A235,""price"",TODAY()-300,TODAY()),1,0),""select Col2 limit 100""))"),3646.0920000000006)</f>
        <v>3646.092</v>
      </c>
      <c r="E235" s="54">
        <f>IFERROR(__xludf.DUMMYFUNCTION("AVERAGE(QUERY(SORT(GOOGLEFINANCE(A235,""price"",TODAY()-500,TODAY()),1,0),""select Col2 limit 200""))"),3340.1015000000016)</f>
        <v>3340.1015</v>
      </c>
      <c r="F235" s="46" t="str">
        <f t="shared" si="1"/>
        <v>Unconfirmed</v>
      </c>
      <c r="G235" s="48">
        <f t="shared" si="2"/>
        <v>13.83785792</v>
      </c>
    </row>
    <row r="236">
      <c r="A236" s="52" t="s">
        <v>253</v>
      </c>
      <c r="B236" s="53">
        <f>IFERROR(__xludf.DUMMYFUNCTION("GOOGLEFINANCE(A236,""price"")"),4844.0)</f>
        <v>4844</v>
      </c>
      <c r="C236" s="54">
        <f>IFERROR(__xludf.DUMMYFUNCTION("AVERAGE(QUERY(SORT(GOOGLEFINANCE(A236,""price"",TODAY()-150,TODAY()),1,0),""select Col2 limit 50""))"),4354.07)</f>
        <v>4354.07</v>
      </c>
      <c r="D236" s="54">
        <f>IFERROR(__xludf.DUMMYFUNCTION("AVERAGE(QUERY(SORT(GOOGLEFINANCE(A236,""price"",TODAY()-300,TODAY()),1,0),""select Col2 limit 100""))"),4325.554000000002)</f>
        <v>4325.554</v>
      </c>
      <c r="E236" s="54">
        <f>IFERROR(__xludf.DUMMYFUNCTION("AVERAGE(QUERY(SORT(GOOGLEFINANCE(A236,""price"",TODAY()-500,TODAY()),1,0),""select Col2 limit 200""))"),3952.411000000002)</f>
        <v>3952.411</v>
      </c>
      <c r="F236" s="46" t="str">
        <f t="shared" si="1"/>
        <v>Unconfirmed</v>
      </c>
      <c r="G236" s="48">
        <f t="shared" si="2"/>
        <v>22.55810441</v>
      </c>
    </row>
    <row r="237">
      <c r="A237" s="52" t="s">
        <v>254</v>
      </c>
      <c r="B237" s="53">
        <f>IFERROR(__xludf.DUMMYFUNCTION("GOOGLEFINANCE(A237,""price"")"),940.45)</f>
        <v>940.45</v>
      </c>
      <c r="C237" s="54">
        <f>IFERROR(__xludf.DUMMYFUNCTION("AVERAGE(QUERY(SORT(GOOGLEFINANCE(A237,""price"",TODAY()-150,TODAY()),1,0),""select Col2 limit 50""))"),925.2869999999996)</f>
        <v>925.287</v>
      </c>
      <c r="D237" s="54">
        <f>IFERROR(__xludf.DUMMYFUNCTION("AVERAGE(QUERY(SORT(GOOGLEFINANCE(A237,""price"",TODAY()-300,TODAY()),1,0),""select Col2 limit 100""))"),865.7144999999998)</f>
        <v>865.7145</v>
      </c>
      <c r="E237" s="54">
        <f>IFERROR(__xludf.DUMMYFUNCTION("AVERAGE(QUERY(SORT(GOOGLEFINANCE(A237,""price"",TODAY()-500,TODAY()),1,0),""select Col2 limit 200""))"),779.1247500000002)</f>
        <v>779.12475</v>
      </c>
      <c r="F237" s="46" t="str">
        <f t="shared" si="1"/>
        <v>Unconfirmed</v>
      </c>
      <c r="G237" s="48">
        <f t="shared" si="2"/>
        <v>20.70595883</v>
      </c>
    </row>
    <row r="238">
      <c r="A238" s="52" t="s">
        <v>255</v>
      </c>
      <c r="B238" s="53">
        <f>IFERROR(__xludf.DUMMYFUNCTION("GOOGLEFINANCE(A238,""price"")"),294.8)</f>
        <v>294.8</v>
      </c>
      <c r="C238" s="54">
        <f>IFERROR(__xludf.DUMMYFUNCTION("AVERAGE(QUERY(SORT(GOOGLEFINANCE(A238,""price"",TODAY()-150,TODAY()),1,0),""select Col2 limit 50""))"),277.291)</f>
        <v>277.291</v>
      </c>
      <c r="D238" s="54">
        <f>IFERROR(__xludf.DUMMYFUNCTION("AVERAGE(QUERY(SORT(GOOGLEFINANCE(A238,""price"",TODAY()-300,TODAY()),1,0),""select Col2 limit 100""))"),258.48990000000003)</f>
        <v>258.4899</v>
      </c>
      <c r="E238" s="54">
        <f>IFERROR(__xludf.DUMMYFUNCTION("AVERAGE(QUERY(SORT(GOOGLEFINANCE(A238,""price"",TODAY()-500,TODAY()),1,0),""select Col2 limit 200""))"),230.40920000000006)</f>
        <v>230.4092</v>
      </c>
      <c r="F238" s="46" t="str">
        <f t="shared" si="1"/>
        <v>Unconfirmed</v>
      </c>
      <c r="G238" s="48">
        <f t="shared" si="2"/>
        <v>27.94627992</v>
      </c>
    </row>
    <row r="239">
      <c r="A239" s="52" t="s">
        <v>256</v>
      </c>
      <c r="B239" s="53">
        <f>IFERROR(__xludf.DUMMYFUNCTION("GOOGLEFINANCE(A239,""price"")"),3775.0)</f>
        <v>3775</v>
      </c>
      <c r="C239" s="54">
        <f>IFERROR(__xludf.DUMMYFUNCTION("AVERAGE(QUERY(SORT(GOOGLEFINANCE(A239,""price"",TODAY()-150,TODAY()),1,0),""select Col2 limit 50""))"),3232.053999999999)</f>
        <v>3232.054</v>
      </c>
      <c r="D239" s="54">
        <f>IFERROR(__xludf.DUMMYFUNCTION("AVERAGE(QUERY(SORT(GOOGLEFINANCE(A239,""price"",TODAY()-300,TODAY()),1,0),""select Col2 limit 100""))"),3104.388)</f>
        <v>3104.388</v>
      </c>
      <c r="E239" s="54">
        <f>IFERROR(__xludf.DUMMYFUNCTION("AVERAGE(QUERY(SORT(GOOGLEFINANCE(A239,""price"",TODAY()-500,TODAY()),1,0),""select Col2 limit 200""))"),2814.3950000000004)</f>
        <v>2814.395</v>
      </c>
      <c r="F239" s="46" t="str">
        <f t="shared" si="1"/>
        <v>Unconfirmed</v>
      </c>
      <c r="G239" s="48">
        <f t="shared" si="2"/>
        <v>34.13184716</v>
      </c>
    </row>
    <row r="240">
      <c r="A240" s="52" t="s">
        <v>257</v>
      </c>
      <c r="B240" s="53">
        <f>IFERROR(__xludf.DUMMYFUNCTION("GOOGLEFINANCE(A240,""price"")"),723.0)</f>
        <v>723</v>
      </c>
      <c r="C240" s="54">
        <f>IFERROR(__xludf.DUMMYFUNCTION("AVERAGE(QUERY(SORT(GOOGLEFINANCE(A240,""price"",TODAY()-150,TODAY()),1,0),""select Col2 limit 50""))"),659.8620000000001)</f>
        <v>659.862</v>
      </c>
      <c r="D240" s="54">
        <f>IFERROR(__xludf.DUMMYFUNCTION("AVERAGE(QUERY(SORT(GOOGLEFINANCE(A240,""price"",TODAY()-300,TODAY()),1,0),""select Col2 limit 100""))"),584.9480000000002)</f>
        <v>584.948</v>
      </c>
      <c r="E240" s="54">
        <f>IFERROR(__xludf.DUMMYFUNCTION("AVERAGE(QUERY(SORT(GOOGLEFINANCE(A240,""price"",TODAY()-500,TODAY()),1,0),""select Col2 limit 200""))"),515.6645000000001)</f>
        <v>515.6645</v>
      </c>
      <c r="F240" s="46" t="str">
        <f t="shared" si="1"/>
        <v>Unconfirmed</v>
      </c>
      <c r="G240" s="48">
        <f t="shared" si="2"/>
        <v>40.20744108</v>
      </c>
    </row>
    <row r="241">
      <c r="A241" s="52" t="s">
        <v>258</v>
      </c>
      <c r="B241" s="53">
        <f>IFERROR(__xludf.DUMMYFUNCTION("GOOGLEFINANCE(A241,""price"")"),952.95)</f>
        <v>952.95</v>
      </c>
      <c r="C241" s="54">
        <f>IFERROR(__xludf.DUMMYFUNCTION("AVERAGE(QUERY(SORT(GOOGLEFINANCE(A241,""price"",TODAY()-150,TODAY()),1,0),""select Col2 limit 50""))"),991.2219999999999)</f>
        <v>991.222</v>
      </c>
      <c r="D241" s="54">
        <f>IFERROR(__xludf.DUMMYFUNCTION("AVERAGE(QUERY(SORT(GOOGLEFINANCE(A241,""price"",TODAY()-300,TODAY()),1,0),""select Col2 limit 100""))"),942.7890000000001)</f>
        <v>942.789</v>
      </c>
      <c r="E241" s="54">
        <f>IFERROR(__xludf.DUMMYFUNCTION("AVERAGE(QUERY(SORT(GOOGLEFINANCE(A241,""price"",TODAY()-500,TODAY()),1,0),""select Col2 limit 200""))"),845.2465000000001)</f>
        <v>845.2465</v>
      </c>
      <c r="F241" s="46" t="str">
        <f t="shared" si="1"/>
        <v>Unconfirmed</v>
      </c>
      <c r="G241" s="48">
        <f t="shared" si="2"/>
        <v>12.74225921</v>
      </c>
    </row>
    <row r="242">
      <c r="A242" s="52" t="s">
        <v>259</v>
      </c>
      <c r="B242" s="53">
        <f>IFERROR(__xludf.DUMMYFUNCTION("GOOGLEFINANCE(A242,""price"")"),617.0)</f>
        <v>617</v>
      </c>
      <c r="C242" s="54">
        <f>IFERROR(__xludf.DUMMYFUNCTION("AVERAGE(QUERY(SORT(GOOGLEFINANCE(A242,""price"",TODAY()-150,TODAY()),1,0),""select Col2 limit 50""))"),627.001)</f>
        <v>627.001</v>
      </c>
      <c r="D242" s="54">
        <f>IFERROR(__xludf.DUMMYFUNCTION("AVERAGE(QUERY(SORT(GOOGLEFINANCE(A242,""price"",TODAY()-300,TODAY()),1,0),""select Col2 limit 100""))"),560.357)</f>
        <v>560.357</v>
      </c>
      <c r="E242" s="54">
        <f>IFERROR(__xludf.DUMMYFUNCTION("AVERAGE(QUERY(SORT(GOOGLEFINANCE(A242,""price"",TODAY()-500,TODAY()),1,0),""select Col2 limit 200""))"),504.72099999999983)</f>
        <v>504.721</v>
      </c>
      <c r="F242" s="46" t="str">
        <f t="shared" si="1"/>
        <v>Unconfirmed</v>
      </c>
      <c r="G242" s="48">
        <f t="shared" si="2"/>
        <v>22.24575558</v>
      </c>
    </row>
    <row r="243">
      <c r="A243" s="52" t="s">
        <v>260</v>
      </c>
      <c r="B243" s="53">
        <f>IFERROR(__xludf.DUMMYFUNCTION("GOOGLEFINANCE(A243,""price"")"),153.89)</f>
        <v>153.89</v>
      </c>
      <c r="C243" s="54">
        <f>IFERROR(__xludf.DUMMYFUNCTION("AVERAGE(QUERY(SORT(GOOGLEFINANCE(A243,""price"",TODAY()-150,TODAY()),1,0),""select Col2 limit 50""))"),151.52179999999998)</f>
        <v>151.5218</v>
      </c>
      <c r="D243" s="54">
        <f>IFERROR(__xludf.DUMMYFUNCTION("AVERAGE(QUERY(SORT(GOOGLEFINANCE(A243,""price"",TODAY()-300,TODAY()),1,0),""select Col2 limit 100""))"),145.65800000000002)</f>
        <v>145.658</v>
      </c>
      <c r="E243" s="54">
        <f>IFERROR(__xludf.DUMMYFUNCTION("AVERAGE(QUERY(SORT(GOOGLEFINANCE(A243,""price"",TODAY()-500,TODAY()),1,0),""select Col2 limit 200""))"),128.83574999999988)</f>
        <v>128.83575</v>
      </c>
      <c r="F243" s="46" t="str">
        <f t="shared" si="1"/>
        <v>Unconfirmed</v>
      </c>
      <c r="G243" s="48">
        <f t="shared" si="2"/>
        <v>19.4466598</v>
      </c>
    </row>
    <row r="244">
      <c r="A244" s="52" t="s">
        <v>261</v>
      </c>
      <c r="B244" s="53">
        <f>IFERROR(__xludf.DUMMYFUNCTION("GOOGLEFINANCE(A244,""price"")"),338.25)</f>
        <v>338.25</v>
      </c>
      <c r="C244" s="54">
        <f>IFERROR(__xludf.DUMMYFUNCTION("AVERAGE(QUERY(SORT(GOOGLEFINANCE(A244,""price"",TODAY()-150,TODAY()),1,0),""select Col2 limit 50""))"),349.98299999999995)</f>
        <v>349.983</v>
      </c>
      <c r="D244" s="54">
        <f>IFERROR(__xludf.DUMMYFUNCTION("AVERAGE(QUERY(SORT(GOOGLEFINANCE(A244,""price"",TODAY()-300,TODAY()),1,0),""select Col2 limit 100""))"),339.88199999999983)</f>
        <v>339.882</v>
      </c>
      <c r="E244" s="54">
        <f>IFERROR(__xludf.DUMMYFUNCTION("AVERAGE(QUERY(SORT(GOOGLEFINANCE(A244,""price"",TODAY()-500,TODAY()),1,0),""select Col2 limit 200""))"),302.6263999999999)</f>
        <v>302.6264</v>
      </c>
      <c r="F244" s="46" t="str">
        <f t="shared" si="1"/>
        <v>Unconfirmed</v>
      </c>
      <c r="G244" s="48">
        <f t="shared" si="2"/>
        <v>11.77147797</v>
      </c>
    </row>
    <row r="245">
      <c r="A245" s="52" t="s">
        <v>262</v>
      </c>
      <c r="B245" s="53">
        <f>IFERROR(__xludf.DUMMYFUNCTION("GOOGLEFINANCE(A245,""price"")"),3466.0)</f>
        <v>3466</v>
      </c>
      <c r="C245" s="54">
        <f>IFERROR(__xludf.DUMMYFUNCTION("AVERAGE(QUERY(SORT(GOOGLEFINANCE(A245,""price"",TODAY()-150,TODAY()),1,0),""select Col2 limit 50""))"),3752.502000000001)</f>
        <v>3752.502</v>
      </c>
      <c r="D245" s="54">
        <f>IFERROR(__xludf.DUMMYFUNCTION("AVERAGE(QUERY(SORT(GOOGLEFINANCE(A245,""price"",TODAY()-300,TODAY()),1,0),""select Col2 limit 100""))"),3617.8940000000002)</f>
        <v>3617.894</v>
      </c>
      <c r="E245" s="54">
        <f>IFERROR(__xludf.DUMMYFUNCTION("AVERAGE(QUERY(SORT(GOOGLEFINANCE(A245,""price"",TODAY()-500,TODAY()),1,0),""select Col2 limit 200""))"),3126.578499999999)</f>
        <v>3126.5785</v>
      </c>
      <c r="F245" s="46" t="str">
        <f t="shared" si="1"/>
        <v>Unconfirmed</v>
      </c>
      <c r="G245" s="48">
        <f t="shared" si="2"/>
        <v>10.85600442</v>
      </c>
    </row>
    <row r="246">
      <c r="A246" s="52" t="s">
        <v>263</v>
      </c>
      <c r="B246" s="53">
        <f>IFERROR(__xludf.DUMMYFUNCTION("GOOGLEFINANCE(A246,""price"")"),10.35)</f>
        <v>10.35</v>
      </c>
      <c r="C246" s="54">
        <f>IFERROR(__xludf.DUMMYFUNCTION("AVERAGE(QUERY(SORT(GOOGLEFINANCE(A246,""price"",TODAY()-150,TODAY()),1,0),""select Col2 limit 50""))"),11.144399999999997)</f>
        <v>11.1444</v>
      </c>
      <c r="D246" s="54">
        <f>IFERROR(__xludf.DUMMYFUNCTION("AVERAGE(QUERY(SORT(GOOGLEFINANCE(A246,""price"",TODAY()-300,TODAY()),1,0),""select Col2 limit 100""))"),10.527000000000001)</f>
        <v>10.527</v>
      </c>
      <c r="E246" s="54">
        <f>IFERROR(__xludf.DUMMYFUNCTION("AVERAGE(QUERY(SORT(GOOGLEFINANCE(A246,""price"",TODAY()-500,TODAY()),1,0),""select Col2 limit 200""))"),8.859350000000001)</f>
        <v>8.85935</v>
      </c>
      <c r="F246" s="46" t="str">
        <f t="shared" si="1"/>
        <v>Unconfirmed</v>
      </c>
      <c r="G246" s="48">
        <f t="shared" si="2"/>
        <v>16.82572649</v>
      </c>
    </row>
    <row r="247">
      <c r="A247" s="52" t="s">
        <v>264</v>
      </c>
      <c r="B247" s="53">
        <f>IFERROR(__xludf.DUMMYFUNCTION("GOOGLEFINANCE(A247,""price"")"),364.5)</f>
        <v>364.5</v>
      </c>
      <c r="C247" s="54">
        <f>IFERROR(__xludf.DUMMYFUNCTION("AVERAGE(QUERY(SORT(GOOGLEFINANCE(A247,""price"",TODAY()-150,TODAY()),1,0),""select Col2 limit 50""))"),374.31200000000007)</f>
        <v>374.312</v>
      </c>
      <c r="D247" s="54">
        <f>IFERROR(__xludf.DUMMYFUNCTION("AVERAGE(QUERY(SORT(GOOGLEFINANCE(A247,""price"",TODAY()-300,TODAY()),1,0),""select Col2 limit 100""))"),349.02549999999997)</f>
        <v>349.0255</v>
      </c>
      <c r="E247" s="54">
        <f>IFERROR(__xludf.DUMMYFUNCTION("AVERAGE(QUERY(SORT(GOOGLEFINANCE(A247,""price"",TODAY()-500,TODAY()),1,0),""select Col2 limit 200""))"),307.4932499999999)</f>
        <v>307.49325</v>
      </c>
      <c r="F247" s="46" t="str">
        <f t="shared" si="1"/>
        <v>Unconfirmed</v>
      </c>
      <c r="G247" s="48">
        <f t="shared" si="2"/>
        <v>18.53918745</v>
      </c>
    </row>
    <row r="248">
      <c r="A248" s="52" t="s">
        <v>265</v>
      </c>
      <c r="B248" s="53">
        <f>IFERROR(__xludf.DUMMYFUNCTION("GOOGLEFINANCE(A248,""price"")"),209.2)</f>
        <v>209.2</v>
      </c>
      <c r="C248" s="54">
        <f>IFERROR(__xludf.DUMMYFUNCTION("AVERAGE(QUERY(SORT(GOOGLEFINANCE(A248,""price"",TODAY()-150,TODAY()),1,0),""select Col2 limit 50""))"),193.6005999999999)</f>
        <v>193.6006</v>
      </c>
      <c r="D248" s="54">
        <f>IFERROR(__xludf.DUMMYFUNCTION("AVERAGE(QUERY(SORT(GOOGLEFINANCE(A248,""price"",TODAY()-300,TODAY()),1,0),""select Col2 limit 100""))"),170.5212)</f>
        <v>170.5212</v>
      </c>
      <c r="E248" s="54">
        <f>IFERROR(__xludf.DUMMYFUNCTION("AVERAGE(QUERY(SORT(GOOGLEFINANCE(A248,""price"",TODAY()-500,TODAY()),1,0),""select Col2 limit 200""))"),148.29389999999995)</f>
        <v>148.2939</v>
      </c>
      <c r="F248" s="46" t="str">
        <f t="shared" si="1"/>
        <v>Unconfirmed</v>
      </c>
      <c r="G248" s="48">
        <f t="shared" si="2"/>
        <v>41.07121062</v>
      </c>
    </row>
    <row r="249">
      <c r="A249" s="52" t="s">
        <v>266</v>
      </c>
      <c r="B249" s="53">
        <f>IFERROR(__xludf.DUMMYFUNCTION("GOOGLEFINANCE(A249,""price"")"),276.3)</f>
        <v>276.3</v>
      </c>
      <c r="C249" s="54">
        <f>IFERROR(__xludf.DUMMYFUNCTION("AVERAGE(QUERY(SORT(GOOGLEFINANCE(A249,""price"",TODAY()-150,TODAY()),1,0),""select Col2 limit 50""))"),296.548)</f>
        <v>296.548</v>
      </c>
      <c r="D249" s="54">
        <f>IFERROR(__xludf.DUMMYFUNCTION("AVERAGE(QUERY(SORT(GOOGLEFINANCE(A249,""price"",TODAY()-300,TODAY()),1,0),""select Col2 limit 100""))"),291.7027)</f>
        <v>291.7027</v>
      </c>
      <c r="E249" s="54">
        <f>IFERROR(__xludf.DUMMYFUNCTION("AVERAGE(QUERY(SORT(GOOGLEFINANCE(A249,""price"",TODAY()-500,TODAY()),1,0),""select Col2 limit 200""))"),249.89224999999988)</f>
        <v>249.89225</v>
      </c>
      <c r="F249" s="46" t="str">
        <f t="shared" si="1"/>
        <v>Unconfirmed</v>
      </c>
      <c r="G249" s="48">
        <f t="shared" si="2"/>
        <v>10.56765466</v>
      </c>
    </row>
    <row r="250">
      <c r="A250" s="52" t="s">
        <v>267</v>
      </c>
      <c r="B250" s="53">
        <f>IFERROR(__xludf.DUMMYFUNCTION("GOOGLEFINANCE(A250,""price"")"),1048.1)</f>
        <v>1048.1</v>
      </c>
      <c r="C250" s="54">
        <f>IFERROR(__xludf.DUMMYFUNCTION("AVERAGE(QUERY(SORT(GOOGLEFINANCE(A250,""price"",TODAY()-150,TODAY()),1,0),""select Col2 limit 50""))"),1011.6899999999997)</f>
        <v>1011.69</v>
      </c>
      <c r="D250" s="54">
        <f>IFERROR(__xludf.DUMMYFUNCTION("AVERAGE(QUERY(SORT(GOOGLEFINANCE(A250,""price"",TODAY()-300,TODAY()),1,0),""select Col2 limit 100""))"),897.4404999999997)</f>
        <v>897.4405</v>
      </c>
      <c r="E250" s="54">
        <f>IFERROR(__xludf.DUMMYFUNCTION("AVERAGE(QUERY(SORT(GOOGLEFINANCE(A250,""price"",TODAY()-500,TODAY()),1,0),""select Col2 limit 200""))"),770.1672500000002)</f>
        <v>770.16725</v>
      </c>
      <c r="F250" s="46" t="str">
        <f t="shared" si="1"/>
        <v>Unconfirmed</v>
      </c>
      <c r="G250" s="48">
        <f t="shared" si="2"/>
        <v>36.08732389</v>
      </c>
    </row>
    <row r="251">
      <c r="A251" s="52" t="s">
        <v>268</v>
      </c>
      <c r="B251" s="53">
        <f>IFERROR(__xludf.DUMMYFUNCTION("GOOGLEFINANCE(A251,""price"")"),362.0)</f>
        <v>362</v>
      </c>
      <c r="C251" s="54">
        <f>IFERROR(__xludf.DUMMYFUNCTION("AVERAGE(QUERY(SORT(GOOGLEFINANCE(A251,""price"",TODAY()-150,TODAY()),1,0),""select Col2 limit 50""))"),347.81899999999985)</f>
        <v>347.819</v>
      </c>
      <c r="D251" s="54">
        <f>IFERROR(__xludf.DUMMYFUNCTION("AVERAGE(QUERY(SORT(GOOGLEFINANCE(A251,""price"",TODAY()-300,TODAY()),1,0),""select Col2 limit 100""))"),298.5446999999998)</f>
        <v>298.5447</v>
      </c>
      <c r="E251" s="54">
        <f>IFERROR(__xludf.DUMMYFUNCTION("AVERAGE(QUERY(SORT(GOOGLEFINANCE(A251,""price"",TODAY()-500,TODAY()),1,0),""select Col2 limit 200""))"),245.8583499999998)</f>
        <v>245.85835</v>
      </c>
      <c r="F251" s="46" t="str">
        <f t="shared" si="1"/>
        <v>Unconfirmed</v>
      </c>
      <c r="G251" s="48">
        <f t="shared" si="2"/>
        <v>47.23925382</v>
      </c>
    </row>
    <row r="252">
      <c r="A252" s="52"/>
      <c r="B252" s="55"/>
      <c r="C252" s="56"/>
      <c r="D252" s="56"/>
      <c r="E252" s="56"/>
    </row>
    <row r="253">
      <c r="A253" s="52"/>
      <c r="B253" s="55"/>
      <c r="C253" s="56"/>
      <c r="D253" s="56"/>
      <c r="E253" s="56"/>
    </row>
    <row r="254">
      <c r="A254" s="52"/>
      <c r="B254" s="55"/>
      <c r="C254" s="56"/>
      <c r="D254" s="56"/>
      <c r="E254" s="56"/>
    </row>
    <row r="255">
      <c r="A255" s="52"/>
      <c r="B255" s="55"/>
      <c r="C255" s="56"/>
      <c r="D255" s="56"/>
      <c r="E255" s="56"/>
    </row>
    <row r="256">
      <c r="A256" s="52"/>
      <c r="B256" s="55"/>
      <c r="C256" s="56"/>
      <c r="D256" s="56"/>
      <c r="E256" s="56"/>
    </row>
    <row r="257">
      <c r="A257" s="52"/>
      <c r="B257" s="55"/>
      <c r="C257" s="56"/>
      <c r="D257" s="56"/>
      <c r="E257" s="56"/>
    </row>
    <row r="258">
      <c r="A258" s="52"/>
      <c r="B258" s="55"/>
      <c r="C258" s="56"/>
      <c r="D258" s="56"/>
      <c r="E258" s="56"/>
    </row>
    <row r="259">
      <c r="A259" s="52"/>
      <c r="B259" s="55"/>
      <c r="C259" s="56"/>
      <c r="D259" s="56"/>
      <c r="E259" s="56"/>
    </row>
    <row r="260">
      <c r="A260" s="52"/>
      <c r="B260" s="55"/>
      <c r="C260" s="56"/>
      <c r="D260" s="56"/>
      <c r="E260" s="56"/>
    </row>
    <row r="261">
      <c r="A261" s="52"/>
      <c r="B261" s="55"/>
      <c r="C261" s="56"/>
      <c r="D261" s="56"/>
      <c r="E261" s="56"/>
    </row>
    <row r="262">
      <c r="A262" s="52"/>
      <c r="B262" s="55"/>
      <c r="C262" s="56"/>
      <c r="D262" s="56"/>
      <c r="E262" s="56"/>
    </row>
    <row r="263">
      <c r="A263" s="52"/>
      <c r="B263" s="55"/>
      <c r="C263" s="56"/>
      <c r="D263" s="56"/>
      <c r="E263" s="56"/>
    </row>
    <row r="264">
      <c r="A264" s="52"/>
      <c r="B264" s="55"/>
      <c r="C264" s="56"/>
      <c r="D264" s="56"/>
      <c r="E264" s="56"/>
    </row>
    <row r="265">
      <c r="A265" s="52"/>
      <c r="B265" s="55"/>
      <c r="C265" s="56"/>
      <c r="D265" s="56"/>
      <c r="E265" s="56"/>
    </row>
    <row r="266">
      <c r="A266" s="52"/>
      <c r="B266" s="55"/>
      <c r="C266" s="56"/>
      <c r="D266" s="56"/>
      <c r="E266" s="56"/>
    </row>
    <row r="267">
      <c r="A267" s="52"/>
      <c r="B267" s="55"/>
      <c r="C267" s="56"/>
      <c r="D267" s="56"/>
      <c r="E267" s="56"/>
    </row>
    <row r="268">
      <c r="A268" s="52"/>
      <c r="B268" s="55"/>
      <c r="C268" s="56"/>
      <c r="D268" s="56"/>
      <c r="E268" s="56"/>
    </row>
    <row r="269">
      <c r="A269" s="52"/>
      <c r="B269" s="55"/>
      <c r="C269" s="56"/>
      <c r="D269" s="56"/>
      <c r="E269" s="56"/>
    </row>
    <row r="270">
      <c r="A270" s="52"/>
      <c r="B270" s="55"/>
      <c r="C270" s="56"/>
      <c r="D270" s="56"/>
      <c r="E270" s="56"/>
    </row>
    <row r="271">
      <c r="A271" s="52"/>
      <c r="B271" s="55"/>
      <c r="C271" s="56"/>
      <c r="D271" s="56"/>
      <c r="E271" s="56"/>
    </row>
    <row r="272">
      <c r="A272" s="52"/>
      <c r="B272" s="55"/>
      <c r="C272" s="56"/>
      <c r="D272" s="56"/>
      <c r="E272" s="56"/>
    </row>
    <row r="273">
      <c r="A273" s="52"/>
      <c r="B273" s="55"/>
      <c r="C273" s="56"/>
      <c r="D273" s="56"/>
      <c r="E273" s="56"/>
    </row>
    <row r="274">
      <c r="A274" s="52"/>
      <c r="B274" s="55"/>
      <c r="C274" s="56"/>
      <c r="D274" s="56"/>
      <c r="E274" s="56"/>
    </row>
    <row r="275">
      <c r="A275" s="52"/>
      <c r="B275" s="55"/>
      <c r="C275" s="56"/>
      <c r="D275" s="56"/>
      <c r="E275" s="56"/>
    </row>
    <row r="276">
      <c r="A276" s="52"/>
      <c r="B276" s="55"/>
      <c r="C276" s="56"/>
      <c r="D276" s="56"/>
      <c r="E276" s="56"/>
    </row>
    <row r="277">
      <c r="A277" s="52"/>
      <c r="B277" s="55"/>
      <c r="C277" s="56"/>
      <c r="D277" s="56"/>
      <c r="E277" s="56"/>
    </row>
    <row r="278">
      <c r="A278" s="52"/>
      <c r="B278" s="55"/>
      <c r="C278" s="56"/>
      <c r="D278" s="56"/>
      <c r="E278" s="56"/>
    </row>
    <row r="279">
      <c r="A279" s="52"/>
      <c r="B279" s="55"/>
      <c r="C279" s="56"/>
      <c r="D279" s="56"/>
      <c r="E279" s="56"/>
    </row>
    <row r="280">
      <c r="A280" s="52"/>
      <c r="B280" s="55"/>
      <c r="C280" s="56"/>
      <c r="D280" s="56"/>
      <c r="E280" s="56"/>
    </row>
    <row r="281">
      <c r="A281" s="52"/>
      <c r="B281" s="55"/>
      <c r="C281" s="56"/>
      <c r="D281" s="56"/>
      <c r="E281" s="56"/>
    </row>
    <row r="282">
      <c r="A282" s="52"/>
      <c r="B282" s="55"/>
      <c r="C282" s="56"/>
      <c r="D282" s="56"/>
      <c r="E282" s="56"/>
    </row>
    <row r="283">
      <c r="A283" s="52"/>
      <c r="B283" s="55"/>
      <c r="C283" s="56"/>
      <c r="D283" s="56"/>
      <c r="E283" s="56"/>
    </row>
    <row r="284">
      <c r="A284" s="52"/>
      <c r="B284" s="55"/>
      <c r="C284" s="56"/>
      <c r="D284" s="56"/>
      <c r="E284" s="56"/>
    </row>
    <row r="285">
      <c r="A285" s="52"/>
      <c r="B285" s="55"/>
      <c r="C285" s="56"/>
      <c r="D285" s="56"/>
      <c r="E285" s="56"/>
    </row>
    <row r="286">
      <c r="A286" s="52"/>
      <c r="B286" s="55"/>
      <c r="C286" s="56"/>
      <c r="D286" s="56"/>
      <c r="E286" s="56"/>
    </row>
    <row r="287">
      <c r="A287" s="52"/>
      <c r="B287" s="55"/>
      <c r="C287" s="56"/>
      <c r="D287" s="56"/>
      <c r="E287" s="56"/>
    </row>
    <row r="288">
      <c r="A288" s="52"/>
      <c r="B288" s="55"/>
      <c r="C288" s="56"/>
      <c r="D288" s="56"/>
      <c r="E288" s="56"/>
    </row>
    <row r="289">
      <c r="A289" s="52"/>
      <c r="B289" s="55"/>
      <c r="C289" s="56"/>
      <c r="D289" s="56"/>
      <c r="E289" s="56"/>
    </row>
    <row r="290">
      <c r="A290" s="52"/>
      <c r="B290" s="55"/>
      <c r="C290" s="56"/>
      <c r="D290" s="56"/>
      <c r="E290" s="56"/>
    </row>
    <row r="291">
      <c r="A291" s="52"/>
      <c r="B291" s="55"/>
      <c r="C291" s="56"/>
      <c r="D291" s="56"/>
      <c r="E291" s="56"/>
    </row>
    <row r="292">
      <c r="A292" s="52"/>
      <c r="B292" s="55"/>
      <c r="C292" s="56"/>
      <c r="D292" s="56"/>
      <c r="E292" s="56"/>
    </row>
    <row r="293">
      <c r="A293" s="52"/>
      <c r="B293" s="55"/>
      <c r="C293" s="56"/>
      <c r="D293" s="56"/>
      <c r="E293" s="56"/>
    </row>
    <row r="294">
      <c r="A294" s="52"/>
      <c r="B294" s="55"/>
      <c r="C294" s="56"/>
      <c r="D294" s="56"/>
      <c r="E294" s="56"/>
    </row>
    <row r="295">
      <c r="A295" s="52"/>
      <c r="B295" s="55"/>
      <c r="C295" s="56"/>
      <c r="D295" s="56"/>
      <c r="E295" s="56"/>
    </row>
    <row r="296">
      <c r="A296" s="52"/>
      <c r="B296" s="55"/>
      <c r="C296" s="56"/>
      <c r="D296" s="56"/>
      <c r="E296" s="56"/>
    </row>
    <row r="297">
      <c r="A297" s="52"/>
      <c r="B297" s="55"/>
      <c r="C297" s="56"/>
      <c r="D297" s="56"/>
      <c r="E297" s="56"/>
    </row>
    <row r="298">
      <c r="A298" s="52"/>
      <c r="B298" s="55"/>
      <c r="C298" s="56"/>
      <c r="D298" s="56"/>
      <c r="E298" s="56"/>
    </row>
    <row r="299">
      <c r="A299" s="52"/>
      <c r="B299" s="55"/>
      <c r="C299" s="56"/>
      <c r="D299" s="56"/>
      <c r="E299" s="56"/>
    </row>
    <row r="300">
      <c r="A300" s="52"/>
      <c r="B300" s="55"/>
      <c r="C300" s="56"/>
      <c r="D300" s="56"/>
      <c r="E300" s="56"/>
    </row>
    <row r="301">
      <c r="A301" s="52"/>
      <c r="B301" s="55"/>
      <c r="C301" s="56"/>
      <c r="D301" s="56"/>
      <c r="E301" s="56"/>
    </row>
    <row r="302">
      <c r="A302" s="52"/>
      <c r="B302" s="55"/>
      <c r="C302" s="56"/>
      <c r="D302" s="56"/>
      <c r="E302" s="56"/>
    </row>
    <row r="303">
      <c r="A303" s="52"/>
      <c r="B303" s="55"/>
      <c r="C303" s="56"/>
      <c r="D303" s="56"/>
      <c r="E303" s="56"/>
    </row>
    <row r="304">
      <c r="A304" s="52"/>
      <c r="B304" s="55"/>
      <c r="C304" s="56"/>
      <c r="D304" s="56"/>
      <c r="E304" s="56"/>
    </row>
    <row r="305">
      <c r="A305" s="52"/>
      <c r="B305" s="55"/>
      <c r="C305" s="56"/>
      <c r="D305" s="56"/>
      <c r="E305" s="56"/>
    </row>
    <row r="306">
      <c r="A306" s="52"/>
      <c r="B306" s="55"/>
      <c r="C306" s="56"/>
      <c r="D306" s="56"/>
      <c r="E306" s="56"/>
    </row>
    <row r="307">
      <c r="A307" s="52"/>
      <c r="B307" s="55"/>
      <c r="C307" s="56"/>
      <c r="D307" s="56"/>
      <c r="E307" s="56"/>
    </row>
    <row r="308">
      <c r="A308" s="52"/>
      <c r="B308" s="55"/>
      <c r="C308" s="56"/>
      <c r="D308" s="56"/>
      <c r="E308" s="56"/>
    </row>
    <row r="309">
      <c r="A309" s="52"/>
      <c r="B309" s="55"/>
      <c r="C309" s="56"/>
      <c r="D309" s="56"/>
      <c r="E309" s="56"/>
    </row>
    <row r="310">
      <c r="A310" s="52"/>
      <c r="B310" s="55"/>
      <c r="C310" s="56"/>
      <c r="D310" s="56"/>
      <c r="E310" s="56"/>
    </row>
    <row r="311">
      <c r="A311" s="52"/>
      <c r="B311" s="55"/>
      <c r="C311" s="56"/>
      <c r="D311" s="56"/>
      <c r="E311" s="56"/>
    </row>
    <row r="312">
      <c r="A312" s="52"/>
      <c r="B312" s="55"/>
      <c r="C312" s="56"/>
      <c r="D312" s="56"/>
      <c r="E312" s="56"/>
    </row>
    <row r="313">
      <c r="A313" s="52"/>
      <c r="B313" s="55"/>
      <c r="C313" s="56"/>
      <c r="D313" s="56"/>
      <c r="E313" s="56"/>
    </row>
    <row r="314">
      <c r="A314" s="52"/>
      <c r="B314" s="55"/>
      <c r="C314" s="56"/>
      <c r="D314" s="56"/>
      <c r="E314" s="56"/>
    </row>
    <row r="315">
      <c r="A315" s="52"/>
      <c r="B315" s="55"/>
      <c r="C315" s="56"/>
      <c r="D315" s="56"/>
      <c r="E315" s="56"/>
    </row>
    <row r="316">
      <c r="A316" s="52"/>
      <c r="B316" s="55"/>
      <c r="C316" s="56"/>
      <c r="D316" s="56"/>
      <c r="E316" s="56"/>
    </row>
    <row r="317">
      <c r="A317" s="52"/>
      <c r="B317" s="55"/>
      <c r="C317" s="56"/>
      <c r="D317" s="56"/>
      <c r="E317" s="56"/>
    </row>
    <row r="318">
      <c r="A318" s="52"/>
      <c r="B318" s="55"/>
      <c r="C318" s="56"/>
      <c r="D318" s="56"/>
      <c r="E318" s="56"/>
    </row>
    <row r="319">
      <c r="A319" s="52"/>
      <c r="B319" s="55"/>
      <c r="C319" s="56"/>
      <c r="D319" s="56"/>
      <c r="E319" s="56"/>
    </row>
    <row r="320">
      <c r="A320" s="52"/>
      <c r="B320" s="55"/>
      <c r="C320" s="56"/>
      <c r="D320" s="56"/>
      <c r="E320" s="56"/>
    </row>
    <row r="321">
      <c r="A321" s="52"/>
      <c r="B321" s="55"/>
      <c r="C321" s="56"/>
      <c r="D321" s="56"/>
      <c r="E321" s="56"/>
    </row>
    <row r="322">
      <c r="A322" s="52"/>
      <c r="B322" s="55"/>
      <c r="C322" s="56"/>
      <c r="D322" s="56"/>
      <c r="E322" s="56"/>
    </row>
    <row r="323">
      <c r="A323" s="52"/>
      <c r="B323" s="55"/>
      <c r="C323" s="56"/>
      <c r="D323" s="56"/>
      <c r="E323" s="56"/>
    </row>
    <row r="324">
      <c r="A324" s="52"/>
      <c r="B324" s="55"/>
      <c r="C324" s="56"/>
      <c r="D324" s="56"/>
      <c r="E324" s="56"/>
    </row>
    <row r="325">
      <c r="A325" s="52"/>
      <c r="B325" s="55"/>
      <c r="C325" s="56"/>
      <c r="D325" s="56"/>
      <c r="E325" s="56"/>
    </row>
    <row r="326">
      <c r="A326" s="52"/>
      <c r="B326" s="55"/>
      <c r="C326" s="56"/>
      <c r="D326" s="56"/>
      <c r="E326" s="56"/>
    </row>
    <row r="327">
      <c r="A327" s="52"/>
      <c r="B327" s="55"/>
      <c r="C327" s="56"/>
      <c r="D327" s="56"/>
      <c r="E327" s="56"/>
    </row>
    <row r="328">
      <c r="A328" s="52"/>
      <c r="B328" s="55"/>
      <c r="C328" s="56"/>
      <c r="D328" s="56"/>
      <c r="E328" s="56"/>
    </row>
    <row r="329">
      <c r="A329" s="52"/>
      <c r="B329" s="55"/>
      <c r="C329" s="56"/>
      <c r="D329" s="56"/>
      <c r="E329" s="56"/>
    </row>
    <row r="330">
      <c r="A330" s="52"/>
      <c r="B330" s="55"/>
      <c r="C330" s="56"/>
      <c r="D330" s="56"/>
      <c r="E330" s="56"/>
    </row>
    <row r="331">
      <c r="A331" s="52"/>
      <c r="B331" s="55"/>
      <c r="C331" s="56"/>
      <c r="D331" s="56"/>
      <c r="E331" s="56"/>
    </row>
    <row r="332">
      <c r="A332" s="52"/>
      <c r="B332" s="55"/>
      <c r="C332" s="56"/>
      <c r="D332" s="56"/>
      <c r="E332" s="56"/>
    </row>
    <row r="333">
      <c r="A333" s="52"/>
      <c r="B333" s="55"/>
      <c r="C333" s="56"/>
      <c r="D333" s="56"/>
      <c r="E333" s="56"/>
    </row>
    <row r="334">
      <c r="A334" s="52"/>
      <c r="B334" s="55"/>
      <c r="C334" s="56"/>
      <c r="D334" s="56"/>
      <c r="E334" s="56"/>
    </row>
    <row r="335">
      <c r="A335" s="52"/>
      <c r="B335" s="55"/>
      <c r="C335" s="56"/>
      <c r="D335" s="56"/>
      <c r="E335" s="56"/>
    </row>
    <row r="336">
      <c r="A336" s="52"/>
      <c r="B336" s="55"/>
      <c r="C336" s="56"/>
      <c r="D336" s="56"/>
      <c r="E336" s="56"/>
    </row>
    <row r="337">
      <c r="A337" s="52"/>
      <c r="B337" s="55"/>
      <c r="C337" s="56"/>
      <c r="D337" s="56"/>
      <c r="E337" s="56"/>
    </row>
    <row r="338">
      <c r="A338" s="52"/>
      <c r="B338" s="55"/>
      <c r="C338" s="56"/>
      <c r="D338" s="56"/>
      <c r="E338" s="56"/>
    </row>
    <row r="339">
      <c r="A339" s="52"/>
      <c r="B339" s="55"/>
      <c r="C339" s="56"/>
      <c r="D339" s="56"/>
      <c r="E339" s="56"/>
    </row>
    <row r="340">
      <c r="A340" s="52"/>
      <c r="B340" s="55"/>
      <c r="C340" s="56"/>
      <c r="D340" s="56"/>
      <c r="E340" s="56"/>
    </row>
    <row r="341">
      <c r="A341" s="52"/>
      <c r="B341" s="55"/>
      <c r="C341" s="56"/>
      <c r="D341" s="56"/>
      <c r="E341" s="56"/>
    </row>
    <row r="342">
      <c r="A342" s="52"/>
      <c r="B342" s="55"/>
      <c r="C342" s="56"/>
      <c r="D342" s="56"/>
      <c r="E342" s="56"/>
    </row>
    <row r="343">
      <c r="A343" s="52"/>
      <c r="B343" s="55"/>
      <c r="C343" s="56"/>
      <c r="D343" s="56"/>
      <c r="E343" s="56"/>
    </row>
    <row r="344">
      <c r="A344" s="52"/>
      <c r="B344" s="55"/>
      <c r="C344" s="56"/>
      <c r="D344" s="56"/>
      <c r="E344" s="56"/>
    </row>
    <row r="345">
      <c r="A345" s="52"/>
      <c r="B345" s="55"/>
      <c r="C345" s="56"/>
      <c r="D345" s="56"/>
      <c r="E345" s="56"/>
    </row>
    <row r="346">
      <c r="A346" s="52"/>
      <c r="B346" s="55"/>
      <c r="C346" s="56"/>
      <c r="D346" s="56"/>
      <c r="E346" s="56"/>
    </row>
    <row r="347">
      <c r="A347" s="52"/>
      <c r="B347" s="55"/>
      <c r="C347" s="56"/>
      <c r="D347" s="56"/>
      <c r="E347" s="56"/>
    </row>
    <row r="348">
      <c r="A348" s="52"/>
      <c r="B348" s="55"/>
      <c r="C348" s="56"/>
      <c r="D348" s="56"/>
      <c r="E348" s="56"/>
    </row>
    <row r="349">
      <c r="A349" s="52"/>
      <c r="B349" s="55"/>
      <c r="C349" s="56"/>
      <c r="D349" s="56"/>
      <c r="E349" s="56"/>
    </row>
    <row r="350">
      <c r="A350" s="52"/>
      <c r="B350" s="55"/>
      <c r="C350" s="56"/>
      <c r="D350" s="56"/>
      <c r="E350" s="56"/>
    </row>
    <row r="351">
      <c r="A351" s="52"/>
      <c r="B351" s="55"/>
      <c r="C351" s="56"/>
      <c r="D351" s="56"/>
      <c r="E351" s="56"/>
    </row>
    <row r="352">
      <c r="A352" s="52"/>
      <c r="B352" s="55"/>
      <c r="C352" s="56"/>
      <c r="D352" s="56"/>
      <c r="E352" s="56"/>
    </row>
    <row r="353">
      <c r="A353" s="52"/>
      <c r="B353" s="55"/>
      <c r="C353" s="56"/>
      <c r="D353" s="56"/>
      <c r="E353" s="56"/>
    </row>
    <row r="354">
      <c r="A354" s="52"/>
      <c r="B354" s="55"/>
      <c r="C354" s="56"/>
      <c r="D354" s="56"/>
      <c r="E354" s="56"/>
    </row>
    <row r="355">
      <c r="A355" s="52"/>
      <c r="B355" s="55"/>
      <c r="C355" s="56"/>
      <c r="D355" s="56"/>
      <c r="E355" s="56"/>
    </row>
    <row r="356">
      <c r="A356" s="52"/>
      <c r="B356" s="55"/>
      <c r="C356" s="56"/>
      <c r="D356" s="56"/>
      <c r="E356" s="56"/>
    </row>
    <row r="357">
      <c r="A357" s="52"/>
      <c r="B357" s="55"/>
      <c r="C357" s="56"/>
      <c r="D357" s="56"/>
      <c r="E357" s="56"/>
    </row>
    <row r="358">
      <c r="A358" s="52"/>
      <c r="B358" s="55"/>
      <c r="C358" s="56"/>
      <c r="D358" s="56"/>
      <c r="E358" s="56"/>
    </row>
    <row r="359">
      <c r="A359" s="52"/>
      <c r="B359" s="55"/>
      <c r="C359" s="56"/>
      <c r="D359" s="56"/>
      <c r="E359" s="56"/>
    </row>
    <row r="360">
      <c r="A360" s="52"/>
      <c r="B360" s="55"/>
      <c r="C360" s="56"/>
      <c r="D360" s="56"/>
      <c r="E360" s="56"/>
    </row>
    <row r="361">
      <c r="A361" s="52"/>
      <c r="B361" s="55"/>
      <c r="C361" s="56"/>
      <c r="D361" s="56"/>
      <c r="E361" s="56"/>
    </row>
    <row r="362">
      <c r="A362" s="52"/>
      <c r="B362" s="55"/>
      <c r="C362" s="56"/>
      <c r="D362" s="56"/>
      <c r="E362" s="56"/>
    </row>
    <row r="363">
      <c r="A363" s="52"/>
      <c r="B363" s="55"/>
      <c r="C363" s="56"/>
      <c r="D363" s="56"/>
      <c r="E363" s="56"/>
    </row>
    <row r="364">
      <c r="A364" s="52"/>
      <c r="B364" s="55"/>
      <c r="C364" s="56"/>
      <c r="D364" s="56"/>
      <c r="E364" s="56"/>
    </row>
    <row r="365">
      <c r="A365" s="52"/>
      <c r="B365" s="55"/>
      <c r="C365" s="56"/>
      <c r="D365" s="56"/>
      <c r="E365" s="56"/>
    </row>
    <row r="366">
      <c r="A366" s="52"/>
      <c r="B366" s="55"/>
      <c r="C366" s="56"/>
      <c r="D366" s="56"/>
      <c r="E366" s="56"/>
    </row>
    <row r="367">
      <c r="A367" s="52"/>
      <c r="B367" s="55"/>
      <c r="C367" s="56"/>
      <c r="D367" s="56"/>
      <c r="E367" s="56"/>
    </row>
    <row r="368">
      <c r="A368" s="52"/>
      <c r="B368" s="55"/>
      <c r="C368" s="56"/>
      <c r="D368" s="56"/>
      <c r="E368" s="56"/>
    </row>
    <row r="369">
      <c r="A369" s="52"/>
      <c r="B369" s="55"/>
      <c r="C369" s="56"/>
      <c r="D369" s="56"/>
      <c r="E369" s="56"/>
    </row>
    <row r="370">
      <c r="A370" s="52"/>
      <c r="B370" s="55"/>
      <c r="C370" s="56"/>
      <c r="D370" s="56"/>
      <c r="E370" s="56"/>
    </row>
    <row r="371">
      <c r="A371" s="52"/>
      <c r="B371" s="55"/>
      <c r="C371" s="56"/>
      <c r="D371" s="56"/>
      <c r="E371" s="56"/>
    </row>
    <row r="372">
      <c r="A372" s="52"/>
      <c r="B372" s="55"/>
      <c r="C372" s="56"/>
      <c r="D372" s="56"/>
      <c r="E372" s="56"/>
    </row>
    <row r="373">
      <c r="A373" s="52"/>
      <c r="B373" s="55"/>
      <c r="C373" s="56"/>
      <c r="D373" s="56"/>
      <c r="E373" s="56"/>
    </row>
    <row r="374">
      <c r="A374" s="52"/>
      <c r="B374" s="55"/>
      <c r="C374" s="56"/>
      <c r="D374" s="56"/>
      <c r="E374" s="56"/>
    </row>
    <row r="375">
      <c r="A375" s="52"/>
      <c r="B375" s="55"/>
      <c r="C375" s="56"/>
      <c r="D375" s="56"/>
      <c r="E375" s="56"/>
    </row>
    <row r="376">
      <c r="A376" s="52"/>
      <c r="B376" s="55"/>
      <c r="C376" s="56"/>
      <c r="D376" s="56"/>
      <c r="E376" s="56"/>
    </row>
    <row r="377">
      <c r="A377" s="52"/>
      <c r="B377" s="55"/>
      <c r="C377" s="56"/>
      <c r="D377" s="56"/>
      <c r="E377" s="56"/>
    </row>
    <row r="378">
      <c r="A378" s="52"/>
      <c r="B378" s="55"/>
      <c r="C378" s="56"/>
      <c r="D378" s="56"/>
      <c r="E378" s="56"/>
    </row>
    <row r="379">
      <c r="A379" s="52"/>
      <c r="B379" s="55"/>
      <c r="C379" s="56"/>
      <c r="D379" s="56"/>
      <c r="E379" s="56"/>
    </row>
    <row r="380">
      <c r="A380" s="52"/>
      <c r="B380" s="55"/>
      <c r="C380" s="56"/>
      <c r="D380" s="56"/>
      <c r="E380" s="56"/>
    </row>
    <row r="381">
      <c r="A381" s="52"/>
      <c r="B381" s="55"/>
      <c r="C381" s="56"/>
      <c r="D381" s="56"/>
      <c r="E381" s="56"/>
    </row>
    <row r="382">
      <c r="A382" s="52"/>
      <c r="B382" s="55"/>
      <c r="C382" s="56"/>
      <c r="D382" s="56"/>
      <c r="E382" s="56"/>
    </row>
    <row r="383">
      <c r="A383" s="52"/>
      <c r="B383" s="55"/>
      <c r="C383" s="56"/>
      <c r="D383" s="56"/>
      <c r="E383" s="56"/>
    </row>
    <row r="384">
      <c r="A384" s="52"/>
      <c r="B384" s="55"/>
      <c r="C384" s="56"/>
      <c r="D384" s="56"/>
      <c r="E384" s="56"/>
    </row>
    <row r="385">
      <c r="A385" s="52"/>
      <c r="B385" s="55"/>
      <c r="C385" s="56"/>
      <c r="D385" s="56"/>
      <c r="E385" s="56"/>
    </row>
    <row r="386">
      <c r="A386" s="52"/>
      <c r="B386" s="55"/>
      <c r="C386" s="56"/>
      <c r="D386" s="56"/>
      <c r="E386" s="56"/>
    </row>
    <row r="387">
      <c r="A387" s="52"/>
      <c r="B387" s="55"/>
      <c r="C387" s="56"/>
      <c r="D387" s="56"/>
      <c r="E387" s="56"/>
    </row>
    <row r="388">
      <c r="A388" s="52"/>
      <c r="B388" s="55"/>
      <c r="C388" s="56"/>
      <c r="D388" s="56"/>
      <c r="E388" s="56"/>
    </row>
    <row r="389">
      <c r="A389" s="52"/>
      <c r="B389" s="55"/>
      <c r="C389" s="56"/>
      <c r="D389" s="56"/>
      <c r="E389" s="56"/>
    </row>
    <row r="390">
      <c r="A390" s="52"/>
      <c r="B390" s="55"/>
      <c r="C390" s="56"/>
      <c r="D390" s="56"/>
      <c r="E390" s="56"/>
    </row>
    <row r="391">
      <c r="A391" s="52"/>
      <c r="B391" s="55"/>
      <c r="C391" s="56"/>
      <c r="D391" s="56"/>
      <c r="E391" s="56"/>
    </row>
    <row r="392">
      <c r="A392" s="52"/>
      <c r="B392" s="55"/>
      <c r="C392" s="56"/>
      <c r="D392" s="56"/>
      <c r="E392" s="56"/>
    </row>
    <row r="393">
      <c r="A393" s="52"/>
      <c r="B393" s="55"/>
      <c r="C393" s="56"/>
      <c r="D393" s="56"/>
      <c r="E393" s="56"/>
    </row>
    <row r="394">
      <c r="A394" s="52"/>
      <c r="B394" s="55"/>
      <c r="C394" s="56"/>
      <c r="D394" s="56"/>
      <c r="E394" s="56"/>
    </row>
    <row r="395">
      <c r="A395" s="52"/>
      <c r="B395" s="55"/>
      <c r="C395" s="56"/>
      <c r="D395" s="56"/>
      <c r="E395" s="56"/>
    </row>
    <row r="396">
      <c r="A396" s="52"/>
      <c r="B396" s="55"/>
      <c r="C396" s="56"/>
      <c r="D396" s="56"/>
      <c r="E396" s="56"/>
    </row>
    <row r="397">
      <c r="A397" s="52"/>
      <c r="B397" s="55"/>
      <c r="C397" s="56"/>
      <c r="D397" s="56"/>
      <c r="E397" s="56"/>
    </row>
    <row r="398">
      <c r="A398" s="52"/>
      <c r="B398" s="55"/>
      <c r="C398" s="56"/>
      <c r="D398" s="56"/>
      <c r="E398" s="56"/>
    </row>
    <row r="399">
      <c r="A399" s="52"/>
      <c r="B399" s="55"/>
      <c r="C399" s="56"/>
      <c r="D399" s="56"/>
      <c r="E399" s="56"/>
    </row>
    <row r="400">
      <c r="A400" s="52"/>
      <c r="B400" s="55"/>
      <c r="C400" s="56"/>
      <c r="D400" s="56"/>
      <c r="E400" s="56"/>
    </row>
    <row r="401">
      <c r="A401" s="52"/>
      <c r="B401" s="55"/>
      <c r="C401" s="56"/>
      <c r="D401" s="56"/>
      <c r="E401" s="56"/>
    </row>
    <row r="402">
      <c r="A402" s="52"/>
      <c r="B402" s="55"/>
      <c r="C402" s="56"/>
      <c r="D402" s="56"/>
      <c r="E402" s="56"/>
    </row>
    <row r="403">
      <c r="A403" s="52"/>
      <c r="B403" s="55"/>
      <c r="C403" s="56"/>
      <c r="D403" s="56"/>
      <c r="E403" s="56"/>
    </row>
    <row r="404">
      <c r="A404" s="52"/>
      <c r="B404" s="55"/>
      <c r="C404" s="56"/>
      <c r="D404" s="56"/>
      <c r="E404" s="56"/>
    </row>
    <row r="405">
      <c r="A405" s="52"/>
      <c r="B405" s="55"/>
      <c r="C405" s="56"/>
      <c r="D405" s="56"/>
      <c r="E405" s="56"/>
    </row>
    <row r="406">
      <c r="A406" s="52"/>
      <c r="B406" s="55"/>
      <c r="C406" s="56"/>
      <c r="D406" s="56"/>
      <c r="E406" s="56"/>
    </row>
    <row r="407">
      <c r="A407" s="52"/>
      <c r="B407" s="55"/>
      <c r="C407" s="56"/>
      <c r="D407" s="56"/>
      <c r="E407" s="56"/>
    </row>
    <row r="408">
      <c r="A408" s="52"/>
      <c r="B408" s="55"/>
      <c r="C408" s="56"/>
      <c r="D408" s="56"/>
      <c r="E408" s="56"/>
    </row>
    <row r="409">
      <c r="A409" s="52"/>
      <c r="B409" s="55"/>
      <c r="C409" s="56"/>
      <c r="D409" s="56"/>
      <c r="E409" s="56"/>
    </row>
    <row r="410">
      <c r="A410" s="52"/>
      <c r="B410" s="55"/>
      <c r="C410" s="56"/>
      <c r="D410" s="56"/>
      <c r="E410" s="56"/>
    </row>
    <row r="411">
      <c r="A411" s="52"/>
      <c r="B411" s="55"/>
      <c r="C411" s="56"/>
      <c r="D411" s="56"/>
      <c r="E411" s="56"/>
    </row>
    <row r="412">
      <c r="A412" s="52"/>
      <c r="B412" s="55"/>
      <c r="C412" s="56"/>
      <c r="D412" s="56"/>
      <c r="E412" s="56"/>
    </row>
    <row r="413">
      <c r="A413" s="52"/>
      <c r="B413" s="55"/>
      <c r="C413" s="56"/>
      <c r="D413" s="56"/>
      <c r="E413" s="56"/>
    </row>
    <row r="414">
      <c r="A414" s="52"/>
      <c r="B414" s="55"/>
      <c r="C414" s="56"/>
      <c r="D414" s="56"/>
      <c r="E414" s="56"/>
    </row>
    <row r="415">
      <c r="A415" s="52"/>
      <c r="B415" s="55"/>
      <c r="C415" s="56"/>
      <c r="D415" s="56"/>
      <c r="E415" s="56"/>
    </row>
    <row r="416">
      <c r="A416" s="52"/>
      <c r="B416" s="55"/>
      <c r="C416" s="56"/>
      <c r="D416" s="56"/>
      <c r="E416" s="56"/>
    </row>
    <row r="417">
      <c r="A417" s="52"/>
      <c r="B417" s="55"/>
      <c r="C417" s="56"/>
      <c r="D417" s="56"/>
      <c r="E417" s="56"/>
    </row>
    <row r="418">
      <c r="A418" s="52"/>
      <c r="B418" s="55"/>
      <c r="C418" s="56"/>
      <c r="D418" s="56"/>
      <c r="E418" s="56"/>
    </row>
    <row r="419">
      <c r="A419" s="52"/>
      <c r="B419" s="55"/>
      <c r="C419" s="56"/>
      <c r="D419" s="56"/>
      <c r="E419" s="56"/>
    </row>
    <row r="420">
      <c r="A420" s="52"/>
      <c r="B420" s="55"/>
      <c r="C420" s="56"/>
      <c r="D420" s="56"/>
      <c r="E420" s="56"/>
    </row>
    <row r="421">
      <c r="A421" s="52"/>
      <c r="B421" s="55"/>
      <c r="C421" s="56"/>
      <c r="D421" s="56"/>
      <c r="E421" s="56"/>
    </row>
    <row r="422">
      <c r="A422" s="52"/>
      <c r="B422" s="55"/>
      <c r="C422" s="56"/>
      <c r="D422" s="56"/>
      <c r="E422" s="56"/>
    </row>
    <row r="423">
      <c r="A423" s="52"/>
      <c r="B423" s="55"/>
      <c r="C423" s="56"/>
      <c r="D423" s="56"/>
      <c r="E423" s="56"/>
    </row>
    <row r="424">
      <c r="A424" s="52"/>
      <c r="B424" s="55"/>
      <c r="C424" s="56"/>
      <c r="D424" s="56"/>
      <c r="E424" s="56"/>
    </row>
    <row r="425">
      <c r="A425" s="52"/>
      <c r="B425" s="55"/>
      <c r="C425" s="56"/>
      <c r="D425" s="56"/>
      <c r="E425" s="56"/>
    </row>
    <row r="426">
      <c r="A426" s="52"/>
      <c r="B426" s="55"/>
      <c r="C426" s="56"/>
      <c r="D426" s="56"/>
      <c r="E426" s="56"/>
    </row>
    <row r="427">
      <c r="A427" s="52"/>
      <c r="B427" s="55"/>
      <c r="C427" s="56"/>
      <c r="D427" s="56"/>
      <c r="E427" s="56"/>
    </row>
    <row r="428">
      <c r="A428" s="52"/>
      <c r="B428" s="55"/>
      <c r="C428" s="56"/>
      <c r="D428" s="56"/>
      <c r="E428" s="56"/>
    </row>
    <row r="429">
      <c r="A429" s="52"/>
      <c r="B429" s="55"/>
      <c r="C429" s="56"/>
      <c r="D429" s="56"/>
      <c r="E429" s="56"/>
    </row>
    <row r="430">
      <c r="A430" s="52"/>
      <c r="B430" s="55"/>
      <c r="C430" s="56"/>
      <c r="D430" s="56"/>
      <c r="E430" s="56"/>
    </row>
    <row r="431">
      <c r="A431" s="52"/>
      <c r="B431" s="55"/>
      <c r="C431" s="56"/>
      <c r="D431" s="56"/>
      <c r="E431" s="56"/>
    </row>
    <row r="432">
      <c r="A432" s="52"/>
      <c r="B432" s="55"/>
      <c r="C432" s="56"/>
      <c r="D432" s="56"/>
      <c r="E432" s="56"/>
    </row>
    <row r="433">
      <c r="A433" s="52"/>
      <c r="B433" s="55"/>
      <c r="C433" s="56"/>
      <c r="D433" s="56"/>
      <c r="E433" s="56"/>
    </row>
    <row r="434">
      <c r="A434" s="52"/>
      <c r="B434" s="55"/>
      <c r="C434" s="56"/>
      <c r="D434" s="56"/>
      <c r="E434" s="56"/>
    </row>
    <row r="435">
      <c r="A435" s="52"/>
      <c r="B435" s="55"/>
      <c r="C435" s="56"/>
      <c r="D435" s="56"/>
      <c r="E435" s="56"/>
    </row>
    <row r="436">
      <c r="A436" s="52"/>
      <c r="B436" s="55"/>
      <c r="C436" s="56"/>
      <c r="D436" s="56"/>
      <c r="E436" s="56"/>
    </row>
    <row r="437">
      <c r="A437" s="52"/>
      <c r="B437" s="55"/>
      <c r="C437" s="56"/>
      <c r="D437" s="56"/>
      <c r="E437" s="56"/>
    </row>
    <row r="438">
      <c r="A438" s="52"/>
      <c r="B438" s="55"/>
      <c r="C438" s="56"/>
      <c r="D438" s="56"/>
      <c r="E438" s="56"/>
    </row>
    <row r="439">
      <c r="A439" s="52"/>
      <c r="B439" s="55"/>
      <c r="C439" s="56"/>
      <c r="D439" s="56"/>
      <c r="E439" s="56"/>
    </row>
    <row r="440">
      <c r="A440" s="52"/>
      <c r="B440" s="55"/>
      <c r="C440" s="56"/>
      <c r="D440" s="56"/>
      <c r="E440" s="56"/>
    </row>
    <row r="441">
      <c r="A441" s="52"/>
      <c r="B441" s="55"/>
      <c r="C441" s="56"/>
      <c r="D441" s="56"/>
      <c r="E441" s="56"/>
    </row>
    <row r="442">
      <c r="A442" s="52"/>
      <c r="B442" s="55"/>
      <c r="C442" s="56"/>
      <c r="D442" s="56"/>
      <c r="E442" s="56"/>
    </row>
    <row r="443">
      <c r="A443" s="52"/>
      <c r="B443" s="55"/>
      <c r="C443" s="56"/>
      <c r="D443" s="56"/>
      <c r="E443" s="56"/>
    </row>
    <row r="444">
      <c r="A444" s="52"/>
      <c r="B444" s="55"/>
      <c r="C444" s="56"/>
      <c r="D444" s="56"/>
      <c r="E444" s="56"/>
    </row>
    <row r="445">
      <c r="A445" s="52"/>
      <c r="B445" s="55"/>
      <c r="C445" s="56"/>
      <c r="D445" s="56"/>
      <c r="E445" s="56"/>
    </row>
    <row r="446">
      <c r="A446" s="52"/>
      <c r="B446" s="55"/>
      <c r="C446" s="56"/>
      <c r="D446" s="56"/>
      <c r="E446" s="56"/>
    </row>
    <row r="447">
      <c r="A447" s="52"/>
      <c r="B447" s="55"/>
      <c r="C447" s="56"/>
      <c r="D447" s="56"/>
      <c r="E447" s="56"/>
    </row>
    <row r="448">
      <c r="A448" s="52"/>
      <c r="B448" s="55"/>
      <c r="C448" s="56"/>
      <c r="D448" s="56"/>
      <c r="E448" s="56"/>
    </row>
    <row r="449">
      <c r="A449" s="52"/>
      <c r="B449" s="55"/>
      <c r="C449" s="56"/>
      <c r="D449" s="56"/>
      <c r="E449" s="56"/>
    </row>
    <row r="450">
      <c r="A450" s="52"/>
      <c r="B450" s="55"/>
      <c r="C450" s="56"/>
      <c r="D450" s="56"/>
      <c r="E450" s="56"/>
    </row>
    <row r="451">
      <c r="A451" s="52"/>
      <c r="B451" s="55"/>
      <c r="C451" s="56"/>
      <c r="D451" s="56"/>
      <c r="E451" s="56"/>
    </row>
    <row r="452">
      <c r="A452" s="52"/>
      <c r="B452" s="55"/>
      <c r="C452" s="56"/>
      <c r="D452" s="56"/>
      <c r="E452" s="56"/>
    </row>
    <row r="453">
      <c r="A453" s="52"/>
      <c r="B453" s="55"/>
      <c r="C453" s="56"/>
      <c r="D453" s="56"/>
      <c r="E453" s="56"/>
    </row>
    <row r="454">
      <c r="A454" s="52"/>
      <c r="B454" s="55"/>
      <c r="C454" s="56"/>
      <c r="D454" s="56"/>
      <c r="E454" s="56"/>
    </row>
    <row r="455">
      <c r="A455" s="52"/>
      <c r="B455" s="55"/>
      <c r="C455" s="56"/>
      <c r="D455" s="56"/>
      <c r="E455" s="56"/>
    </row>
    <row r="456">
      <c r="A456" s="52"/>
      <c r="B456" s="55"/>
      <c r="C456" s="56"/>
      <c r="D456" s="56"/>
      <c r="E456" s="56"/>
    </row>
    <row r="457">
      <c r="A457" s="52"/>
      <c r="B457" s="55"/>
      <c r="C457" s="56"/>
      <c r="D457" s="56"/>
      <c r="E457" s="56"/>
    </row>
    <row r="458">
      <c r="A458" s="52"/>
      <c r="B458" s="55"/>
      <c r="C458" s="56"/>
      <c r="D458" s="56"/>
      <c r="E458" s="56"/>
    </row>
    <row r="459">
      <c r="A459" s="52"/>
      <c r="B459" s="55"/>
      <c r="C459" s="56"/>
      <c r="D459" s="56"/>
      <c r="E459" s="56"/>
    </row>
    <row r="460">
      <c r="A460" s="52"/>
      <c r="B460" s="55"/>
      <c r="C460" s="56"/>
      <c r="D460" s="56"/>
      <c r="E460" s="56"/>
    </row>
    <row r="461">
      <c r="A461" s="52"/>
      <c r="B461" s="55"/>
      <c r="C461" s="56"/>
      <c r="D461" s="56"/>
      <c r="E461" s="56"/>
    </row>
    <row r="462">
      <c r="A462" s="52"/>
      <c r="B462" s="55"/>
      <c r="C462" s="56"/>
      <c r="D462" s="56"/>
      <c r="E462" s="56"/>
    </row>
    <row r="463">
      <c r="A463" s="52"/>
      <c r="B463" s="55"/>
      <c r="C463" s="56"/>
      <c r="D463" s="56"/>
      <c r="E463" s="56"/>
    </row>
    <row r="464">
      <c r="A464" s="52"/>
      <c r="B464" s="55"/>
      <c r="C464" s="56"/>
      <c r="D464" s="56"/>
      <c r="E464" s="56"/>
    </row>
    <row r="465">
      <c r="A465" s="52"/>
      <c r="B465" s="55"/>
      <c r="C465" s="56"/>
      <c r="D465" s="56"/>
      <c r="E465" s="56"/>
    </row>
    <row r="466">
      <c r="A466" s="52"/>
      <c r="B466" s="55"/>
      <c r="C466" s="56"/>
      <c r="D466" s="56"/>
      <c r="E466" s="56"/>
    </row>
    <row r="467">
      <c r="A467" s="52"/>
      <c r="B467" s="55"/>
      <c r="C467" s="56"/>
      <c r="D467" s="56"/>
      <c r="E467" s="56"/>
    </row>
    <row r="468">
      <c r="A468" s="52"/>
      <c r="B468" s="55"/>
      <c r="C468" s="56"/>
      <c r="D468" s="56"/>
      <c r="E468" s="56"/>
    </row>
    <row r="469">
      <c r="A469" s="52"/>
      <c r="B469" s="55"/>
      <c r="C469" s="56"/>
      <c r="D469" s="56"/>
      <c r="E469" s="56"/>
    </row>
    <row r="470">
      <c r="A470" s="52"/>
      <c r="B470" s="55"/>
      <c r="C470" s="56"/>
      <c r="D470" s="56"/>
      <c r="E470" s="56"/>
    </row>
    <row r="471">
      <c r="A471" s="52"/>
      <c r="B471" s="55"/>
      <c r="C471" s="56"/>
      <c r="D471" s="56"/>
      <c r="E471" s="56"/>
    </row>
    <row r="472">
      <c r="A472" s="52"/>
      <c r="B472" s="55"/>
      <c r="C472" s="56"/>
      <c r="D472" s="56"/>
      <c r="E472" s="56"/>
    </row>
    <row r="473">
      <c r="A473" s="52"/>
      <c r="B473" s="55"/>
      <c r="C473" s="56"/>
      <c r="D473" s="56"/>
      <c r="E473" s="56"/>
    </row>
    <row r="474">
      <c r="A474" s="52"/>
      <c r="B474" s="55"/>
      <c r="C474" s="56"/>
      <c r="D474" s="56"/>
      <c r="E474" s="56"/>
    </row>
    <row r="475">
      <c r="A475" s="52"/>
      <c r="B475" s="55"/>
      <c r="C475" s="56"/>
      <c r="D475" s="56"/>
      <c r="E475" s="56"/>
    </row>
    <row r="476">
      <c r="A476" s="52"/>
      <c r="B476" s="55"/>
      <c r="C476" s="56"/>
      <c r="D476" s="56"/>
      <c r="E476" s="56"/>
    </row>
    <row r="477">
      <c r="A477" s="52"/>
      <c r="B477" s="55"/>
      <c r="C477" s="56"/>
      <c r="D477" s="56"/>
      <c r="E477" s="56"/>
    </row>
    <row r="478">
      <c r="A478" s="52"/>
      <c r="B478" s="55"/>
      <c r="C478" s="56"/>
      <c r="D478" s="56"/>
      <c r="E478" s="56"/>
    </row>
    <row r="479">
      <c r="A479" s="52"/>
      <c r="B479" s="55"/>
      <c r="C479" s="56"/>
      <c r="D479" s="56"/>
      <c r="E479" s="56"/>
    </row>
    <row r="480">
      <c r="A480" s="52"/>
      <c r="B480" s="55"/>
      <c r="C480" s="56"/>
      <c r="D480" s="56"/>
      <c r="E480" s="56"/>
    </row>
    <row r="481">
      <c r="A481" s="52"/>
      <c r="B481" s="55"/>
      <c r="C481" s="56"/>
      <c r="D481" s="56"/>
      <c r="E481" s="56"/>
    </row>
    <row r="482">
      <c r="A482" s="52"/>
      <c r="B482" s="55"/>
      <c r="C482" s="56"/>
      <c r="D482" s="56"/>
      <c r="E482" s="56"/>
    </row>
    <row r="483">
      <c r="A483" s="52"/>
      <c r="B483" s="55"/>
      <c r="C483" s="56"/>
      <c r="D483" s="56"/>
      <c r="E483" s="56"/>
    </row>
    <row r="484">
      <c r="A484" s="52"/>
      <c r="B484" s="55"/>
      <c r="C484" s="56"/>
      <c r="D484" s="56"/>
      <c r="E484" s="56"/>
    </row>
    <row r="485">
      <c r="A485" s="52"/>
      <c r="B485" s="55"/>
      <c r="C485" s="56"/>
      <c r="D485" s="56"/>
      <c r="E485" s="56"/>
    </row>
    <row r="486">
      <c r="A486" s="52"/>
      <c r="B486" s="55"/>
      <c r="C486" s="56"/>
      <c r="D486" s="56"/>
      <c r="E486" s="56"/>
    </row>
    <row r="487">
      <c r="A487" s="52"/>
      <c r="B487" s="55"/>
      <c r="C487" s="56"/>
      <c r="D487" s="56"/>
      <c r="E487" s="56"/>
    </row>
    <row r="488">
      <c r="A488" s="52"/>
      <c r="B488" s="55"/>
      <c r="C488" s="56"/>
      <c r="D488" s="56"/>
      <c r="E488" s="56"/>
    </row>
    <row r="489">
      <c r="A489" s="52"/>
      <c r="B489" s="55"/>
      <c r="C489" s="56"/>
      <c r="D489" s="56"/>
      <c r="E489" s="56"/>
    </row>
    <row r="490">
      <c r="A490" s="52"/>
      <c r="B490" s="55"/>
      <c r="C490" s="56"/>
      <c r="D490" s="56"/>
      <c r="E490" s="56"/>
    </row>
    <row r="491">
      <c r="A491" s="52"/>
      <c r="B491" s="55"/>
      <c r="C491" s="56"/>
      <c r="D491" s="56"/>
      <c r="E491" s="56"/>
    </row>
    <row r="492">
      <c r="A492" s="52"/>
      <c r="B492" s="55"/>
      <c r="C492" s="56"/>
      <c r="D492" s="56"/>
      <c r="E492" s="56"/>
    </row>
    <row r="493">
      <c r="A493" s="52"/>
      <c r="B493" s="55"/>
      <c r="C493" s="56"/>
      <c r="D493" s="56"/>
      <c r="E493" s="56"/>
    </row>
    <row r="494">
      <c r="A494" s="52"/>
      <c r="B494" s="55"/>
      <c r="C494" s="56"/>
      <c r="D494" s="56"/>
      <c r="E494" s="56"/>
    </row>
    <row r="495">
      <c r="A495" s="52"/>
      <c r="B495" s="55"/>
      <c r="C495" s="56"/>
      <c r="D495" s="56"/>
      <c r="E495" s="56"/>
    </row>
    <row r="496">
      <c r="A496" s="52"/>
      <c r="B496" s="55"/>
      <c r="C496" s="56"/>
      <c r="D496" s="56"/>
      <c r="E496" s="56"/>
    </row>
    <row r="497">
      <c r="A497" s="52"/>
      <c r="B497" s="55"/>
      <c r="C497" s="56"/>
      <c r="D497" s="56"/>
      <c r="E497" s="56"/>
    </row>
    <row r="498">
      <c r="A498" s="52"/>
      <c r="B498" s="55"/>
      <c r="C498" s="56"/>
      <c r="D498" s="56"/>
      <c r="E498" s="56"/>
    </row>
    <row r="499">
      <c r="A499" s="52"/>
      <c r="B499" s="55"/>
      <c r="C499" s="56"/>
      <c r="D499" s="56"/>
      <c r="E499" s="56"/>
    </row>
    <row r="500">
      <c r="A500" s="52"/>
      <c r="B500" s="55"/>
      <c r="C500" s="56"/>
      <c r="D500" s="56"/>
      <c r="E500" s="56"/>
    </row>
    <row r="501">
      <c r="A501" s="52"/>
      <c r="B501" s="55"/>
      <c r="C501" s="56"/>
      <c r="D501" s="56"/>
      <c r="E501" s="56"/>
    </row>
    <row r="502">
      <c r="A502" s="52"/>
      <c r="B502" s="55"/>
      <c r="C502" s="56"/>
      <c r="D502" s="56"/>
      <c r="E502" s="56"/>
    </row>
    <row r="503">
      <c r="A503" s="52"/>
      <c r="B503" s="55"/>
      <c r="C503" s="56"/>
      <c r="D503" s="56"/>
      <c r="E503" s="56"/>
    </row>
    <row r="504">
      <c r="A504" s="52"/>
      <c r="B504" s="55"/>
      <c r="C504" s="56"/>
      <c r="D504" s="56"/>
      <c r="E504" s="56"/>
    </row>
    <row r="505">
      <c r="A505" s="52"/>
      <c r="B505" s="55"/>
      <c r="C505" s="56"/>
      <c r="D505" s="56"/>
      <c r="E505" s="56"/>
    </row>
    <row r="506">
      <c r="A506" s="52"/>
      <c r="B506" s="55"/>
      <c r="C506" s="56"/>
      <c r="D506" s="56"/>
      <c r="E506" s="56"/>
    </row>
    <row r="507">
      <c r="A507" s="52"/>
      <c r="B507" s="55"/>
      <c r="C507" s="56"/>
      <c r="D507" s="56"/>
      <c r="E507" s="56"/>
    </row>
    <row r="508">
      <c r="A508" s="52"/>
      <c r="B508" s="55"/>
      <c r="C508" s="56"/>
      <c r="D508" s="56"/>
      <c r="E508" s="56"/>
    </row>
    <row r="509">
      <c r="A509" s="52"/>
      <c r="B509" s="55"/>
      <c r="C509" s="56"/>
      <c r="D509" s="56"/>
      <c r="E509" s="56"/>
    </row>
    <row r="510">
      <c r="A510" s="52"/>
      <c r="B510" s="55"/>
      <c r="C510" s="56"/>
      <c r="D510" s="56"/>
      <c r="E510" s="56"/>
    </row>
    <row r="511">
      <c r="A511" s="52"/>
      <c r="B511" s="55"/>
      <c r="C511" s="56"/>
      <c r="D511" s="56"/>
      <c r="E511" s="56"/>
    </row>
    <row r="512">
      <c r="A512" s="52"/>
      <c r="B512" s="55"/>
      <c r="C512" s="56"/>
      <c r="D512" s="56"/>
      <c r="E512" s="56"/>
    </row>
    <row r="513">
      <c r="A513" s="52"/>
      <c r="B513" s="55"/>
      <c r="C513" s="56"/>
      <c r="D513" s="56"/>
      <c r="E513" s="56"/>
    </row>
    <row r="514">
      <c r="A514" s="52"/>
      <c r="B514" s="55"/>
      <c r="C514" s="56"/>
      <c r="D514" s="56"/>
      <c r="E514" s="56"/>
    </row>
    <row r="515">
      <c r="A515" s="52"/>
      <c r="B515" s="55"/>
      <c r="C515" s="56"/>
      <c r="D515" s="56"/>
      <c r="E515" s="56"/>
    </row>
    <row r="516">
      <c r="A516" s="52"/>
      <c r="B516" s="55"/>
      <c r="C516" s="56"/>
      <c r="D516" s="56"/>
      <c r="E516" s="56"/>
    </row>
    <row r="517">
      <c r="A517" s="52"/>
      <c r="B517" s="55"/>
      <c r="C517" s="56"/>
      <c r="D517" s="56"/>
      <c r="E517" s="56"/>
    </row>
    <row r="518">
      <c r="A518" s="52"/>
      <c r="B518" s="55"/>
      <c r="C518" s="56"/>
      <c r="D518" s="56"/>
      <c r="E518" s="56"/>
    </row>
    <row r="519">
      <c r="A519" s="52"/>
      <c r="B519" s="55"/>
      <c r="C519" s="56"/>
      <c r="D519" s="56"/>
      <c r="E519" s="56"/>
    </row>
    <row r="520">
      <c r="A520" s="52"/>
      <c r="B520" s="55"/>
      <c r="C520" s="56"/>
      <c r="D520" s="56"/>
      <c r="E520" s="56"/>
    </row>
    <row r="521">
      <c r="A521" s="52"/>
      <c r="B521" s="55"/>
      <c r="C521" s="56"/>
      <c r="D521" s="56"/>
      <c r="E521" s="56"/>
    </row>
    <row r="522">
      <c r="A522" s="52"/>
      <c r="B522" s="55"/>
      <c r="C522" s="56"/>
      <c r="D522" s="56"/>
      <c r="E522" s="56"/>
    </row>
    <row r="523">
      <c r="A523" s="52"/>
      <c r="B523" s="55"/>
      <c r="C523" s="56"/>
      <c r="D523" s="56"/>
      <c r="E523" s="56"/>
    </row>
    <row r="524">
      <c r="A524" s="52"/>
      <c r="B524" s="55"/>
      <c r="C524" s="56"/>
      <c r="D524" s="56"/>
      <c r="E524" s="56"/>
    </row>
    <row r="525">
      <c r="A525" s="52"/>
      <c r="B525" s="55"/>
      <c r="C525" s="56"/>
      <c r="D525" s="56"/>
      <c r="E525" s="56"/>
    </row>
    <row r="526">
      <c r="A526" s="52"/>
      <c r="B526" s="55"/>
      <c r="C526" s="56"/>
      <c r="D526" s="56"/>
      <c r="E526" s="56"/>
    </row>
    <row r="527">
      <c r="A527" s="52"/>
      <c r="B527" s="55"/>
      <c r="C527" s="56"/>
      <c r="D527" s="56"/>
      <c r="E527" s="56"/>
    </row>
    <row r="528">
      <c r="A528" s="52"/>
      <c r="B528" s="55"/>
      <c r="C528" s="56"/>
      <c r="D528" s="56"/>
      <c r="E528" s="56"/>
    </row>
    <row r="529">
      <c r="A529" s="52"/>
      <c r="B529" s="55"/>
      <c r="C529" s="56"/>
      <c r="D529" s="56"/>
      <c r="E529" s="56"/>
    </row>
    <row r="530">
      <c r="A530" s="52"/>
      <c r="B530" s="55"/>
      <c r="C530" s="56"/>
      <c r="D530" s="56"/>
      <c r="E530" s="56"/>
    </row>
    <row r="531">
      <c r="A531" s="52"/>
      <c r="B531" s="55"/>
      <c r="C531" s="56"/>
      <c r="D531" s="56"/>
      <c r="E531" s="56"/>
    </row>
    <row r="532">
      <c r="A532" s="52"/>
      <c r="B532" s="55"/>
      <c r="C532" s="56"/>
      <c r="D532" s="56"/>
      <c r="E532" s="56"/>
    </row>
    <row r="533">
      <c r="A533" s="52"/>
      <c r="B533" s="55"/>
      <c r="C533" s="56"/>
      <c r="D533" s="56"/>
      <c r="E533" s="56"/>
    </row>
    <row r="534">
      <c r="A534" s="52"/>
      <c r="B534" s="55"/>
      <c r="C534" s="56"/>
      <c r="D534" s="56"/>
      <c r="E534" s="56"/>
    </row>
    <row r="535">
      <c r="A535" s="52"/>
      <c r="B535" s="55"/>
      <c r="C535" s="56"/>
      <c r="D535" s="56"/>
      <c r="E535" s="56"/>
    </row>
    <row r="536">
      <c r="A536" s="52"/>
      <c r="B536" s="55"/>
      <c r="C536" s="56"/>
      <c r="D536" s="56"/>
      <c r="E536" s="56"/>
    </row>
    <row r="537">
      <c r="A537" s="52"/>
      <c r="B537" s="55"/>
      <c r="C537" s="56"/>
      <c r="D537" s="56"/>
      <c r="E537" s="56"/>
    </row>
    <row r="538">
      <c r="A538" s="52"/>
      <c r="B538" s="55"/>
      <c r="C538" s="56"/>
      <c r="D538" s="56"/>
      <c r="E538" s="56"/>
    </row>
    <row r="539">
      <c r="A539" s="52"/>
      <c r="B539" s="55"/>
      <c r="C539" s="56"/>
      <c r="D539" s="56"/>
      <c r="E539" s="56"/>
    </row>
    <row r="540">
      <c r="A540" s="52"/>
      <c r="B540" s="55"/>
      <c r="C540" s="56"/>
      <c r="D540" s="56"/>
      <c r="E540" s="56"/>
    </row>
    <row r="541">
      <c r="A541" s="52"/>
      <c r="B541" s="55"/>
      <c r="C541" s="56"/>
      <c r="D541" s="56"/>
      <c r="E541" s="56"/>
    </row>
    <row r="542">
      <c r="A542" s="52"/>
      <c r="B542" s="55"/>
      <c r="C542" s="56"/>
      <c r="D542" s="56"/>
      <c r="E542" s="56"/>
    </row>
    <row r="543">
      <c r="A543" s="52"/>
      <c r="B543" s="55"/>
      <c r="C543" s="56"/>
      <c r="D543" s="56"/>
      <c r="E543" s="56"/>
    </row>
    <row r="544">
      <c r="A544" s="52"/>
      <c r="B544" s="55"/>
      <c r="C544" s="56"/>
      <c r="D544" s="56"/>
      <c r="E544" s="56"/>
    </row>
    <row r="545">
      <c r="A545" s="52"/>
      <c r="B545" s="55"/>
      <c r="C545" s="56"/>
      <c r="D545" s="56"/>
      <c r="E545" s="56"/>
    </row>
    <row r="546">
      <c r="A546" s="52"/>
      <c r="B546" s="55"/>
      <c r="C546" s="56"/>
      <c r="D546" s="56"/>
      <c r="E546" s="56"/>
    </row>
    <row r="547">
      <c r="A547" s="52"/>
      <c r="B547" s="55"/>
      <c r="C547" s="56"/>
      <c r="D547" s="56"/>
      <c r="E547" s="56"/>
    </row>
    <row r="548">
      <c r="A548" s="52"/>
      <c r="B548" s="55"/>
      <c r="C548" s="56"/>
      <c r="D548" s="56"/>
      <c r="E548" s="56"/>
    </row>
    <row r="549">
      <c r="A549" s="52"/>
      <c r="B549" s="55"/>
      <c r="C549" s="56"/>
      <c r="D549" s="56"/>
      <c r="E549" s="56"/>
    </row>
    <row r="550">
      <c r="A550" s="52"/>
      <c r="B550" s="55"/>
      <c r="C550" s="56"/>
      <c r="D550" s="56"/>
      <c r="E550" s="56"/>
    </row>
    <row r="551">
      <c r="A551" s="52"/>
      <c r="B551" s="55"/>
      <c r="C551" s="56"/>
      <c r="D551" s="56"/>
      <c r="E551" s="56"/>
    </row>
    <row r="552">
      <c r="A552" s="52"/>
      <c r="B552" s="55"/>
      <c r="C552" s="56"/>
      <c r="D552" s="56"/>
      <c r="E552" s="56"/>
    </row>
    <row r="553">
      <c r="A553" s="52"/>
      <c r="B553" s="55"/>
      <c r="C553" s="56"/>
      <c r="D553" s="56"/>
      <c r="E553" s="56"/>
    </row>
    <row r="554">
      <c r="A554" s="52"/>
      <c r="B554" s="55"/>
      <c r="C554" s="56"/>
      <c r="D554" s="56"/>
      <c r="E554" s="56"/>
    </row>
    <row r="555">
      <c r="A555" s="52"/>
      <c r="B555" s="55"/>
      <c r="C555" s="56"/>
      <c r="D555" s="56"/>
      <c r="E555" s="56"/>
    </row>
    <row r="556">
      <c r="A556" s="52"/>
      <c r="B556" s="55"/>
      <c r="C556" s="56"/>
      <c r="D556" s="56"/>
      <c r="E556" s="56"/>
    </row>
    <row r="557">
      <c r="A557" s="52"/>
      <c r="B557" s="55"/>
      <c r="C557" s="56"/>
      <c r="D557" s="56"/>
      <c r="E557" s="56"/>
    </row>
    <row r="558">
      <c r="A558" s="52"/>
      <c r="B558" s="55"/>
      <c r="C558" s="56"/>
      <c r="D558" s="56"/>
      <c r="E558" s="56"/>
    </row>
    <row r="559">
      <c r="A559" s="52"/>
      <c r="B559" s="55"/>
      <c r="C559" s="56"/>
      <c r="D559" s="56"/>
      <c r="E559" s="56"/>
    </row>
    <row r="560">
      <c r="A560" s="52"/>
      <c r="B560" s="55"/>
      <c r="C560" s="56"/>
      <c r="D560" s="56"/>
      <c r="E560" s="56"/>
    </row>
    <row r="561">
      <c r="A561" s="52"/>
      <c r="B561" s="55"/>
      <c r="C561" s="56"/>
      <c r="D561" s="56"/>
      <c r="E561" s="56"/>
    </row>
    <row r="562">
      <c r="A562" s="52"/>
      <c r="B562" s="55"/>
      <c r="C562" s="56"/>
      <c r="D562" s="56"/>
      <c r="E562" s="56"/>
    </row>
    <row r="563">
      <c r="A563" s="52"/>
      <c r="B563" s="55"/>
      <c r="C563" s="56"/>
      <c r="D563" s="56"/>
      <c r="E563" s="56"/>
    </row>
    <row r="564">
      <c r="A564" s="52"/>
      <c r="B564" s="55"/>
      <c r="C564" s="56"/>
      <c r="D564" s="56"/>
      <c r="E564" s="56"/>
    </row>
    <row r="565">
      <c r="A565" s="52"/>
      <c r="B565" s="55"/>
      <c r="C565" s="56"/>
      <c r="D565" s="56"/>
      <c r="E565" s="56"/>
    </row>
    <row r="566">
      <c r="A566" s="52"/>
      <c r="B566" s="55"/>
      <c r="C566" s="56"/>
      <c r="D566" s="56"/>
      <c r="E566" s="56"/>
    </row>
    <row r="567">
      <c r="A567" s="52"/>
      <c r="B567" s="55"/>
      <c r="C567" s="56"/>
      <c r="D567" s="56"/>
      <c r="E567" s="56"/>
    </row>
    <row r="568">
      <c r="A568" s="52"/>
      <c r="B568" s="55"/>
      <c r="C568" s="56"/>
      <c r="D568" s="56"/>
      <c r="E568" s="56"/>
    </row>
    <row r="569">
      <c r="A569" s="52"/>
      <c r="B569" s="55"/>
      <c r="C569" s="56"/>
      <c r="D569" s="56"/>
      <c r="E569" s="56"/>
    </row>
    <row r="570">
      <c r="A570" s="52"/>
      <c r="B570" s="55"/>
      <c r="C570" s="56"/>
      <c r="D570" s="56"/>
      <c r="E570" s="56"/>
    </row>
    <row r="571">
      <c r="A571" s="52"/>
      <c r="B571" s="55"/>
      <c r="C571" s="56"/>
      <c r="D571" s="56"/>
      <c r="E571" s="56"/>
    </row>
    <row r="572">
      <c r="A572" s="52"/>
      <c r="B572" s="55"/>
      <c r="C572" s="56"/>
      <c r="D572" s="56"/>
      <c r="E572" s="56"/>
    </row>
    <row r="573">
      <c r="A573" s="52"/>
      <c r="B573" s="55"/>
      <c r="C573" s="56"/>
      <c r="D573" s="56"/>
      <c r="E573" s="56"/>
    </row>
    <row r="574">
      <c r="A574" s="52"/>
      <c r="B574" s="55"/>
      <c r="C574" s="56"/>
      <c r="D574" s="56"/>
      <c r="E574" s="56"/>
    </row>
    <row r="575">
      <c r="A575" s="52"/>
      <c r="B575" s="55"/>
      <c r="C575" s="56"/>
      <c r="D575" s="56"/>
      <c r="E575" s="56"/>
    </row>
    <row r="576">
      <c r="A576" s="52"/>
      <c r="B576" s="55"/>
      <c r="C576" s="56"/>
      <c r="D576" s="56"/>
      <c r="E576" s="56"/>
    </row>
    <row r="577">
      <c r="A577" s="52"/>
      <c r="B577" s="55"/>
      <c r="C577" s="56"/>
      <c r="D577" s="56"/>
      <c r="E577" s="56"/>
    </row>
    <row r="578">
      <c r="A578" s="52"/>
      <c r="B578" s="55"/>
      <c r="C578" s="56"/>
      <c r="D578" s="56"/>
      <c r="E578" s="56"/>
    </row>
    <row r="579">
      <c r="A579" s="52"/>
      <c r="B579" s="55"/>
      <c r="C579" s="56"/>
      <c r="D579" s="56"/>
      <c r="E579" s="56"/>
    </row>
    <row r="580">
      <c r="A580" s="52"/>
      <c r="B580" s="55"/>
      <c r="C580" s="56"/>
      <c r="D580" s="56"/>
      <c r="E580" s="56"/>
    </row>
    <row r="581">
      <c r="A581" s="52"/>
      <c r="B581" s="55"/>
      <c r="C581" s="56"/>
      <c r="D581" s="56"/>
      <c r="E581" s="56"/>
    </row>
    <row r="582">
      <c r="A582" s="52"/>
      <c r="B582" s="55"/>
      <c r="C582" s="56"/>
      <c r="D582" s="56"/>
      <c r="E582" s="56"/>
    </row>
    <row r="583">
      <c r="A583" s="52"/>
      <c r="B583" s="55"/>
      <c r="C583" s="56"/>
      <c r="D583" s="56"/>
      <c r="E583" s="56"/>
    </row>
    <row r="584">
      <c r="A584" s="52"/>
      <c r="B584" s="55"/>
      <c r="C584" s="56"/>
      <c r="D584" s="56"/>
      <c r="E584" s="56"/>
    </row>
    <row r="585">
      <c r="A585" s="52"/>
      <c r="B585" s="55"/>
      <c r="C585" s="56"/>
      <c r="D585" s="56"/>
      <c r="E585" s="56"/>
    </row>
    <row r="586">
      <c r="A586" s="52"/>
      <c r="B586" s="55"/>
      <c r="C586" s="56"/>
      <c r="D586" s="56"/>
      <c r="E586" s="56"/>
    </row>
    <row r="587">
      <c r="A587" s="52"/>
      <c r="B587" s="55"/>
      <c r="C587" s="56"/>
      <c r="D587" s="56"/>
      <c r="E587" s="56"/>
    </row>
    <row r="588">
      <c r="A588" s="52"/>
      <c r="B588" s="55"/>
      <c r="C588" s="56"/>
      <c r="D588" s="56"/>
      <c r="E588" s="56"/>
    </row>
    <row r="589">
      <c r="A589" s="52"/>
      <c r="B589" s="55"/>
      <c r="C589" s="56"/>
      <c r="D589" s="56"/>
      <c r="E589" s="56"/>
    </row>
    <row r="590">
      <c r="A590" s="52"/>
      <c r="B590" s="55"/>
      <c r="C590" s="56"/>
      <c r="D590" s="56"/>
      <c r="E590" s="56"/>
    </row>
    <row r="591">
      <c r="A591" s="52"/>
      <c r="B591" s="55"/>
      <c r="C591" s="56"/>
      <c r="D591" s="56"/>
      <c r="E591" s="56"/>
    </row>
    <row r="592">
      <c r="A592" s="52"/>
      <c r="B592" s="55"/>
      <c r="C592" s="56"/>
      <c r="D592" s="56"/>
      <c r="E592" s="56"/>
    </row>
    <row r="593">
      <c r="A593" s="52"/>
      <c r="B593" s="55"/>
      <c r="C593" s="56"/>
      <c r="D593" s="56"/>
      <c r="E593" s="56"/>
    </row>
    <row r="594">
      <c r="A594" s="52"/>
      <c r="B594" s="55"/>
      <c r="C594" s="56"/>
      <c r="D594" s="56"/>
      <c r="E594" s="56"/>
    </row>
    <row r="595">
      <c r="A595" s="52"/>
      <c r="B595" s="55"/>
      <c r="C595" s="56"/>
      <c r="D595" s="56"/>
      <c r="E595" s="56"/>
    </row>
    <row r="596">
      <c r="A596" s="52"/>
      <c r="B596" s="55"/>
      <c r="C596" s="56"/>
      <c r="D596" s="56"/>
      <c r="E596" s="56"/>
    </row>
    <row r="597">
      <c r="A597" s="52"/>
      <c r="B597" s="55"/>
      <c r="C597" s="56"/>
      <c r="D597" s="56"/>
      <c r="E597" s="56"/>
    </row>
    <row r="598">
      <c r="A598" s="52"/>
      <c r="B598" s="55"/>
      <c r="C598" s="56"/>
      <c r="D598" s="56"/>
      <c r="E598" s="56"/>
    </row>
    <row r="599">
      <c r="A599" s="52"/>
      <c r="B599" s="55"/>
      <c r="C599" s="56"/>
      <c r="D599" s="56"/>
      <c r="E599" s="56"/>
    </row>
    <row r="600">
      <c r="A600" s="52"/>
      <c r="B600" s="55"/>
      <c r="C600" s="56"/>
      <c r="D600" s="56"/>
      <c r="E600" s="56"/>
    </row>
    <row r="601">
      <c r="A601" s="52"/>
      <c r="B601" s="55"/>
      <c r="C601" s="56"/>
      <c r="D601" s="56"/>
      <c r="E601" s="56"/>
    </row>
    <row r="602">
      <c r="A602" s="52"/>
      <c r="B602" s="55"/>
      <c r="C602" s="56"/>
      <c r="D602" s="56"/>
      <c r="E602" s="56"/>
    </row>
    <row r="603">
      <c r="A603" s="52"/>
      <c r="B603" s="55"/>
      <c r="C603" s="56"/>
      <c r="D603" s="56"/>
      <c r="E603" s="56"/>
    </row>
    <row r="604">
      <c r="A604" s="52"/>
      <c r="B604" s="55"/>
      <c r="C604" s="56"/>
      <c r="D604" s="56"/>
      <c r="E604" s="56"/>
    </row>
    <row r="605">
      <c r="A605" s="52"/>
      <c r="B605" s="55"/>
      <c r="C605" s="56"/>
      <c r="D605" s="56"/>
      <c r="E605" s="56"/>
    </row>
    <row r="606">
      <c r="A606" s="52"/>
      <c r="B606" s="55"/>
      <c r="C606" s="56"/>
      <c r="D606" s="56"/>
      <c r="E606" s="56"/>
    </row>
    <row r="607">
      <c r="A607" s="52"/>
      <c r="B607" s="55"/>
      <c r="C607" s="56"/>
      <c r="D607" s="56"/>
      <c r="E607" s="56"/>
    </row>
    <row r="608">
      <c r="A608" s="52"/>
      <c r="B608" s="55"/>
      <c r="C608" s="56"/>
      <c r="D608" s="56"/>
      <c r="E608" s="56"/>
    </row>
    <row r="609">
      <c r="A609" s="52"/>
      <c r="B609" s="55"/>
      <c r="C609" s="56"/>
      <c r="D609" s="56"/>
      <c r="E609" s="56"/>
    </row>
    <row r="610">
      <c r="A610" s="52"/>
      <c r="B610" s="55"/>
      <c r="C610" s="56"/>
      <c r="D610" s="56"/>
      <c r="E610" s="56"/>
    </row>
    <row r="611">
      <c r="A611" s="52"/>
      <c r="B611" s="55"/>
      <c r="C611" s="56"/>
      <c r="D611" s="56"/>
      <c r="E611" s="56"/>
    </row>
    <row r="612">
      <c r="A612" s="52"/>
      <c r="B612" s="55"/>
      <c r="C612" s="56"/>
      <c r="D612" s="56"/>
      <c r="E612" s="56"/>
    </row>
    <row r="613">
      <c r="A613" s="52"/>
      <c r="B613" s="55"/>
      <c r="C613" s="56"/>
      <c r="D613" s="56"/>
      <c r="E613" s="56"/>
    </row>
    <row r="614">
      <c r="A614" s="52"/>
      <c r="B614" s="55"/>
      <c r="C614" s="56"/>
      <c r="D614" s="56"/>
      <c r="E614" s="56"/>
    </row>
    <row r="615">
      <c r="A615" s="52"/>
      <c r="B615" s="55"/>
      <c r="C615" s="56"/>
      <c r="D615" s="56"/>
      <c r="E615" s="56"/>
    </row>
    <row r="616">
      <c r="A616" s="52"/>
      <c r="B616" s="55"/>
      <c r="C616" s="56"/>
      <c r="D616" s="56"/>
      <c r="E616" s="56"/>
    </row>
    <row r="617">
      <c r="A617" s="52"/>
      <c r="B617" s="55"/>
      <c r="C617" s="56"/>
      <c r="D617" s="56"/>
      <c r="E617" s="56"/>
    </row>
    <row r="618">
      <c r="A618" s="52"/>
      <c r="B618" s="55"/>
      <c r="C618" s="56"/>
      <c r="D618" s="56"/>
      <c r="E618" s="56"/>
    </row>
    <row r="619">
      <c r="A619" s="52"/>
      <c r="B619" s="55"/>
      <c r="C619" s="56"/>
      <c r="D619" s="56"/>
      <c r="E619" s="56"/>
    </row>
    <row r="620">
      <c r="A620" s="52"/>
      <c r="B620" s="55"/>
      <c r="C620" s="56"/>
      <c r="D620" s="56"/>
      <c r="E620" s="56"/>
    </row>
    <row r="621">
      <c r="A621" s="52"/>
      <c r="B621" s="55"/>
      <c r="C621" s="56"/>
      <c r="D621" s="56"/>
      <c r="E621" s="56"/>
    </row>
    <row r="622">
      <c r="A622" s="52"/>
      <c r="B622" s="55"/>
      <c r="C622" s="56"/>
      <c r="D622" s="56"/>
      <c r="E622" s="56"/>
    </row>
    <row r="623">
      <c r="A623" s="52"/>
      <c r="B623" s="55"/>
      <c r="C623" s="56"/>
      <c r="D623" s="56"/>
      <c r="E623" s="56"/>
    </row>
    <row r="624">
      <c r="A624" s="52"/>
      <c r="B624" s="55"/>
      <c r="C624" s="56"/>
      <c r="D624" s="56"/>
      <c r="E624" s="56"/>
    </row>
    <row r="625">
      <c r="A625" s="52"/>
      <c r="B625" s="55"/>
      <c r="C625" s="56"/>
      <c r="D625" s="56"/>
      <c r="E625" s="56"/>
    </row>
    <row r="626">
      <c r="A626" s="52"/>
      <c r="B626" s="55"/>
      <c r="C626" s="56"/>
      <c r="D626" s="56"/>
      <c r="E626" s="56"/>
    </row>
    <row r="627">
      <c r="A627" s="52"/>
      <c r="B627" s="55"/>
      <c r="C627" s="56"/>
      <c r="D627" s="56"/>
      <c r="E627" s="56"/>
    </row>
    <row r="628">
      <c r="A628" s="52"/>
      <c r="B628" s="55"/>
      <c r="C628" s="56"/>
      <c r="D628" s="56"/>
      <c r="E628" s="56"/>
    </row>
    <row r="629">
      <c r="A629" s="52"/>
      <c r="B629" s="55"/>
      <c r="C629" s="56"/>
      <c r="D629" s="56"/>
      <c r="E629" s="56"/>
    </row>
    <row r="630">
      <c r="A630" s="52"/>
      <c r="B630" s="55"/>
      <c r="C630" s="56"/>
      <c r="D630" s="56"/>
      <c r="E630" s="56"/>
    </row>
    <row r="631">
      <c r="A631" s="52"/>
      <c r="B631" s="55"/>
      <c r="C631" s="56"/>
      <c r="D631" s="56"/>
      <c r="E631" s="56"/>
    </row>
    <row r="632">
      <c r="A632" s="52"/>
      <c r="B632" s="55"/>
      <c r="C632" s="56"/>
      <c r="D632" s="56"/>
      <c r="E632" s="56"/>
    </row>
    <row r="633">
      <c r="A633" s="52"/>
      <c r="B633" s="55"/>
      <c r="C633" s="56"/>
      <c r="D633" s="56"/>
      <c r="E633" s="56"/>
    </row>
    <row r="634">
      <c r="A634" s="52"/>
      <c r="B634" s="55"/>
      <c r="C634" s="56"/>
      <c r="D634" s="56"/>
      <c r="E634" s="56"/>
    </row>
    <row r="635">
      <c r="A635" s="52"/>
      <c r="B635" s="55"/>
      <c r="C635" s="56"/>
      <c r="D635" s="56"/>
      <c r="E635" s="56"/>
    </row>
    <row r="636">
      <c r="A636" s="52"/>
      <c r="B636" s="55"/>
      <c r="C636" s="56"/>
      <c r="D636" s="56"/>
      <c r="E636" s="56"/>
    </row>
    <row r="637">
      <c r="A637" s="52"/>
      <c r="B637" s="55"/>
      <c r="C637" s="56"/>
      <c r="D637" s="56"/>
      <c r="E637" s="56"/>
    </row>
    <row r="638">
      <c r="A638" s="52"/>
      <c r="B638" s="55"/>
      <c r="C638" s="56"/>
      <c r="D638" s="56"/>
      <c r="E638" s="56"/>
    </row>
    <row r="639">
      <c r="A639" s="52"/>
      <c r="B639" s="55"/>
      <c r="C639" s="56"/>
      <c r="D639" s="56"/>
      <c r="E639" s="56"/>
    </row>
    <row r="640">
      <c r="A640" s="52"/>
      <c r="B640" s="55"/>
      <c r="C640" s="56"/>
      <c r="D640" s="56"/>
      <c r="E640" s="56"/>
    </row>
    <row r="641">
      <c r="A641" s="52"/>
      <c r="B641" s="55"/>
      <c r="C641" s="56"/>
      <c r="D641" s="56"/>
      <c r="E641" s="56"/>
    </row>
    <row r="642">
      <c r="A642" s="52"/>
      <c r="B642" s="55"/>
      <c r="C642" s="56"/>
      <c r="D642" s="56"/>
      <c r="E642" s="56"/>
    </row>
    <row r="643">
      <c r="A643" s="52"/>
      <c r="B643" s="55"/>
      <c r="C643" s="56"/>
      <c r="D643" s="56"/>
      <c r="E643" s="56"/>
    </row>
    <row r="644">
      <c r="A644" s="52"/>
      <c r="B644" s="55"/>
      <c r="C644" s="56"/>
      <c r="D644" s="56"/>
      <c r="E644" s="56"/>
    </row>
    <row r="645">
      <c r="A645" s="52"/>
      <c r="B645" s="55"/>
      <c r="C645" s="56"/>
      <c r="D645" s="56"/>
      <c r="E645" s="56"/>
    </row>
    <row r="646">
      <c r="A646" s="52"/>
      <c r="B646" s="55"/>
      <c r="C646" s="56"/>
      <c r="D646" s="56"/>
      <c r="E646" s="56"/>
    </row>
    <row r="647">
      <c r="A647" s="52"/>
      <c r="B647" s="55"/>
      <c r="C647" s="56"/>
      <c r="D647" s="56"/>
      <c r="E647" s="56"/>
    </row>
    <row r="648">
      <c r="A648" s="52"/>
      <c r="B648" s="55"/>
      <c r="C648" s="56"/>
      <c r="D648" s="56"/>
      <c r="E648" s="56"/>
    </row>
    <row r="649">
      <c r="A649" s="52"/>
      <c r="B649" s="55"/>
      <c r="C649" s="56"/>
      <c r="D649" s="56"/>
      <c r="E649" s="56"/>
    </row>
    <row r="650">
      <c r="A650" s="52"/>
      <c r="B650" s="55"/>
      <c r="C650" s="56"/>
      <c r="D650" s="56"/>
      <c r="E650" s="56"/>
    </row>
    <row r="651">
      <c r="A651" s="52"/>
      <c r="B651" s="55"/>
      <c r="C651" s="56"/>
      <c r="D651" s="56"/>
      <c r="E651" s="56"/>
    </row>
    <row r="652">
      <c r="A652" s="52"/>
      <c r="B652" s="55"/>
      <c r="C652" s="56"/>
      <c r="D652" s="56"/>
      <c r="E652" s="56"/>
    </row>
    <row r="653">
      <c r="A653" s="52"/>
      <c r="B653" s="55"/>
      <c r="C653" s="56"/>
      <c r="D653" s="56"/>
      <c r="E653" s="56"/>
    </row>
    <row r="654">
      <c r="A654" s="52"/>
      <c r="B654" s="55"/>
      <c r="C654" s="56"/>
      <c r="D654" s="56"/>
      <c r="E654" s="56"/>
    </row>
    <row r="655">
      <c r="A655" s="52"/>
      <c r="B655" s="55"/>
      <c r="C655" s="56"/>
      <c r="D655" s="56"/>
      <c r="E655" s="56"/>
    </row>
    <row r="656">
      <c r="A656" s="52"/>
      <c r="B656" s="55"/>
      <c r="C656" s="56"/>
      <c r="D656" s="56"/>
      <c r="E656" s="56"/>
    </row>
    <row r="657">
      <c r="A657" s="52"/>
      <c r="B657" s="55"/>
      <c r="C657" s="56"/>
      <c r="D657" s="56"/>
      <c r="E657" s="56"/>
    </row>
    <row r="658">
      <c r="A658" s="52"/>
      <c r="B658" s="55"/>
      <c r="C658" s="56"/>
      <c r="D658" s="56"/>
      <c r="E658" s="56"/>
    </row>
    <row r="659">
      <c r="A659" s="52"/>
      <c r="B659" s="55"/>
      <c r="C659" s="56"/>
      <c r="D659" s="56"/>
      <c r="E659" s="56"/>
    </row>
    <row r="660">
      <c r="A660" s="52"/>
      <c r="B660" s="55"/>
      <c r="C660" s="56"/>
      <c r="D660" s="56"/>
      <c r="E660" s="56"/>
    </row>
    <row r="661">
      <c r="A661" s="52"/>
      <c r="B661" s="55"/>
      <c r="C661" s="56"/>
      <c r="D661" s="56"/>
      <c r="E661" s="56"/>
    </row>
    <row r="662">
      <c r="A662" s="52"/>
      <c r="B662" s="55"/>
      <c r="C662" s="56"/>
      <c r="D662" s="56"/>
      <c r="E662" s="56"/>
    </row>
    <row r="663">
      <c r="A663" s="52"/>
      <c r="B663" s="55"/>
      <c r="C663" s="56"/>
      <c r="D663" s="56"/>
      <c r="E663" s="56"/>
    </row>
    <row r="664">
      <c r="A664" s="52"/>
      <c r="B664" s="55"/>
      <c r="C664" s="56"/>
      <c r="D664" s="56"/>
      <c r="E664" s="56"/>
    </row>
    <row r="665">
      <c r="A665" s="52"/>
      <c r="B665" s="55"/>
      <c r="C665" s="56"/>
      <c r="D665" s="56"/>
      <c r="E665" s="56"/>
    </row>
    <row r="666">
      <c r="A666" s="52"/>
      <c r="B666" s="55"/>
      <c r="C666" s="56"/>
      <c r="D666" s="56"/>
      <c r="E666" s="56"/>
    </row>
    <row r="667">
      <c r="A667" s="52"/>
      <c r="B667" s="55"/>
      <c r="C667" s="56"/>
      <c r="D667" s="56"/>
      <c r="E667" s="56"/>
    </row>
    <row r="668">
      <c r="A668" s="52"/>
      <c r="B668" s="55"/>
      <c r="C668" s="56"/>
      <c r="D668" s="56"/>
      <c r="E668" s="56"/>
    </row>
    <row r="669">
      <c r="A669" s="52"/>
      <c r="B669" s="55"/>
      <c r="C669" s="56"/>
      <c r="D669" s="56"/>
      <c r="E669" s="56"/>
    </row>
    <row r="670">
      <c r="A670" s="52"/>
      <c r="B670" s="55"/>
      <c r="C670" s="56"/>
      <c r="D670" s="56"/>
      <c r="E670" s="56"/>
    </row>
    <row r="671">
      <c r="A671" s="52"/>
      <c r="B671" s="55"/>
      <c r="C671" s="56"/>
      <c r="D671" s="56"/>
      <c r="E671" s="56"/>
    </row>
    <row r="672">
      <c r="A672" s="52"/>
      <c r="B672" s="55"/>
      <c r="C672" s="56"/>
      <c r="D672" s="56"/>
      <c r="E672" s="56"/>
    </row>
    <row r="673">
      <c r="A673" s="52"/>
      <c r="B673" s="55"/>
      <c r="C673" s="56"/>
      <c r="D673" s="56"/>
      <c r="E673" s="56"/>
    </row>
    <row r="674">
      <c r="A674" s="52"/>
      <c r="B674" s="55"/>
      <c r="C674" s="56"/>
      <c r="D674" s="56"/>
      <c r="E674" s="56"/>
    </row>
    <row r="675">
      <c r="A675" s="52"/>
      <c r="B675" s="55"/>
      <c r="C675" s="56"/>
      <c r="D675" s="56"/>
      <c r="E675" s="56"/>
    </row>
    <row r="676">
      <c r="A676" s="52"/>
      <c r="B676" s="55"/>
      <c r="C676" s="56"/>
      <c r="D676" s="56"/>
      <c r="E676" s="56"/>
    </row>
    <row r="677">
      <c r="A677" s="52"/>
      <c r="B677" s="55"/>
      <c r="C677" s="56"/>
      <c r="D677" s="56"/>
      <c r="E677" s="56"/>
    </row>
    <row r="678">
      <c r="A678" s="52"/>
      <c r="B678" s="55"/>
      <c r="C678" s="56"/>
      <c r="D678" s="56"/>
      <c r="E678" s="56"/>
    </row>
    <row r="679">
      <c r="A679" s="52"/>
      <c r="B679" s="55"/>
      <c r="C679" s="56"/>
      <c r="D679" s="56"/>
      <c r="E679" s="56"/>
    </row>
    <row r="680">
      <c r="A680" s="52"/>
      <c r="B680" s="55"/>
      <c r="C680" s="56"/>
      <c r="D680" s="56"/>
      <c r="E680" s="56"/>
    </row>
    <row r="681">
      <c r="A681" s="52"/>
      <c r="B681" s="55"/>
      <c r="C681" s="56"/>
      <c r="D681" s="56"/>
      <c r="E681" s="56"/>
    </row>
    <row r="682">
      <c r="A682" s="52"/>
      <c r="B682" s="55"/>
      <c r="C682" s="56"/>
      <c r="D682" s="56"/>
      <c r="E682" s="56"/>
    </row>
    <row r="683">
      <c r="A683" s="52"/>
      <c r="B683" s="55"/>
      <c r="C683" s="56"/>
      <c r="D683" s="56"/>
      <c r="E683" s="56"/>
    </row>
    <row r="684">
      <c r="A684" s="52"/>
      <c r="B684" s="55"/>
      <c r="C684" s="56"/>
      <c r="D684" s="56"/>
      <c r="E684" s="56"/>
    </row>
    <row r="685">
      <c r="A685" s="52"/>
      <c r="B685" s="55"/>
      <c r="C685" s="56"/>
      <c r="D685" s="56"/>
      <c r="E685" s="56"/>
    </row>
    <row r="686">
      <c r="A686" s="52"/>
      <c r="B686" s="55"/>
      <c r="C686" s="56"/>
      <c r="D686" s="56"/>
      <c r="E686" s="56"/>
    </row>
    <row r="687">
      <c r="A687" s="52"/>
      <c r="B687" s="55"/>
      <c r="C687" s="56"/>
      <c r="D687" s="56"/>
      <c r="E687" s="56"/>
    </row>
    <row r="688">
      <c r="A688" s="52"/>
      <c r="B688" s="55"/>
      <c r="C688" s="56"/>
      <c r="D688" s="56"/>
      <c r="E688" s="56"/>
    </row>
    <row r="689">
      <c r="A689" s="52"/>
      <c r="B689" s="55"/>
      <c r="C689" s="56"/>
      <c r="D689" s="56"/>
      <c r="E689" s="56"/>
    </row>
    <row r="690">
      <c r="A690" s="52"/>
      <c r="B690" s="55"/>
      <c r="C690" s="56"/>
      <c r="D690" s="56"/>
      <c r="E690" s="56"/>
    </row>
    <row r="691">
      <c r="A691" s="52"/>
      <c r="B691" s="55"/>
      <c r="C691" s="56"/>
      <c r="D691" s="56"/>
      <c r="E691" s="56"/>
    </row>
    <row r="692">
      <c r="A692" s="52"/>
      <c r="B692" s="55"/>
      <c r="C692" s="56"/>
      <c r="D692" s="56"/>
      <c r="E692" s="56"/>
    </row>
    <row r="693">
      <c r="A693" s="52"/>
      <c r="B693" s="55"/>
      <c r="C693" s="56"/>
      <c r="D693" s="56"/>
      <c r="E693" s="56"/>
    </row>
    <row r="694">
      <c r="A694" s="52"/>
      <c r="B694" s="55"/>
      <c r="C694" s="56"/>
      <c r="D694" s="56"/>
      <c r="E694" s="56"/>
    </row>
    <row r="695">
      <c r="A695" s="52"/>
      <c r="B695" s="55"/>
      <c r="C695" s="56"/>
      <c r="D695" s="56"/>
      <c r="E695" s="56"/>
    </row>
    <row r="696">
      <c r="A696" s="52"/>
      <c r="B696" s="55"/>
      <c r="C696" s="56"/>
      <c r="D696" s="56"/>
      <c r="E696" s="56"/>
    </row>
    <row r="697">
      <c r="A697" s="52"/>
      <c r="B697" s="55"/>
      <c r="C697" s="56"/>
      <c r="D697" s="56"/>
      <c r="E697" s="56"/>
    </row>
    <row r="698">
      <c r="A698" s="52"/>
      <c r="B698" s="55"/>
      <c r="C698" s="56"/>
      <c r="D698" s="56"/>
      <c r="E698" s="56"/>
    </row>
    <row r="699">
      <c r="A699" s="52"/>
      <c r="B699" s="55"/>
      <c r="C699" s="56"/>
      <c r="D699" s="56"/>
      <c r="E699" s="56"/>
    </row>
    <row r="700">
      <c r="A700" s="52"/>
      <c r="B700" s="55"/>
      <c r="C700" s="56"/>
      <c r="D700" s="56"/>
      <c r="E700" s="56"/>
    </row>
    <row r="701">
      <c r="A701" s="52"/>
      <c r="B701" s="55"/>
      <c r="C701" s="56"/>
      <c r="D701" s="56"/>
      <c r="E701" s="56"/>
    </row>
    <row r="702">
      <c r="A702" s="52"/>
      <c r="B702" s="55"/>
      <c r="C702" s="56"/>
      <c r="D702" s="56"/>
      <c r="E702" s="56"/>
    </row>
    <row r="703">
      <c r="A703" s="52"/>
      <c r="B703" s="55"/>
      <c r="C703" s="56"/>
      <c r="D703" s="56"/>
      <c r="E703" s="56"/>
    </row>
    <row r="704">
      <c r="A704" s="52"/>
      <c r="B704" s="55"/>
      <c r="C704" s="56"/>
      <c r="D704" s="56"/>
      <c r="E704" s="56"/>
    </row>
    <row r="705">
      <c r="A705" s="52"/>
      <c r="B705" s="55"/>
      <c r="C705" s="56"/>
      <c r="D705" s="56"/>
      <c r="E705" s="56"/>
    </row>
    <row r="706">
      <c r="A706" s="52"/>
      <c r="B706" s="55"/>
      <c r="C706" s="56"/>
      <c r="D706" s="56"/>
      <c r="E706" s="56"/>
    </row>
    <row r="707">
      <c r="A707" s="52"/>
      <c r="B707" s="55"/>
      <c r="C707" s="56"/>
      <c r="D707" s="56"/>
      <c r="E707" s="56"/>
    </row>
    <row r="708">
      <c r="A708" s="52"/>
      <c r="B708" s="55"/>
      <c r="C708" s="56"/>
      <c r="D708" s="56"/>
      <c r="E708" s="56"/>
    </row>
    <row r="709">
      <c r="A709" s="52"/>
      <c r="B709" s="55"/>
      <c r="C709" s="56"/>
      <c r="D709" s="56"/>
      <c r="E709" s="56"/>
    </row>
    <row r="710">
      <c r="A710" s="52"/>
      <c r="B710" s="55"/>
      <c r="C710" s="56"/>
      <c r="D710" s="56"/>
      <c r="E710" s="56"/>
    </row>
    <row r="711">
      <c r="A711" s="52"/>
      <c r="B711" s="55"/>
      <c r="C711" s="56"/>
      <c r="D711" s="56"/>
      <c r="E711" s="56"/>
    </row>
    <row r="712">
      <c r="A712" s="52"/>
      <c r="B712" s="55"/>
      <c r="C712" s="56"/>
      <c r="D712" s="56"/>
      <c r="E712" s="56"/>
    </row>
    <row r="713">
      <c r="A713" s="52"/>
      <c r="B713" s="55"/>
      <c r="C713" s="56"/>
      <c r="D713" s="56"/>
      <c r="E713" s="56"/>
    </row>
    <row r="714">
      <c r="A714" s="52"/>
      <c r="B714" s="55"/>
      <c r="C714" s="56"/>
      <c r="D714" s="56"/>
      <c r="E714" s="56"/>
    </row>
    <row r="715">
      <c r="A715" s="52"/>
      <c r="B715" s="55"/>
      <c r="C715" s="56"/>
      <c r="D715" s="56"/>
      <c r="E715" s="56"/>
    </row>
    <row r="716">
      <c r="A716" s="52"/>
      <c r="B716" s="55"/>
      <c r="C716" s="56"/>
      <c r="D716" s="56"/>
      <c r="E716" s="56"/>
    </row>
    <row r="717">
      <c r="A717" s="52"/>
      <c r="B717" s="55"/>
      <c r="C717" s="56"/>
      <c r="D717" s="56"/>
      <c r="E717" s="56"/>
    </row>
    <row r="718">
      <c r="A718" s="52"/>
      <c r="B718" s="55"/>
      <c r="C718" s="56"/>
      <c r="D718" s="56"/>
      <c r="E718" s="56"/>
    </row>
    <row r="719">
      <c r="A719" s="52"/>
      <c r="B719" s="55"/>
      <c r="C719" s="56"/>
      <c r="D719" s="56"/>
      <c r="E719" s="56"/>
    </row>
    <row r="720">
      <c r="A720" s="52"/>
      <c r="B720" s="55"/>
      <c r="C720" s="56"/>
      <c r="D720" s="56"/>
      <c r="E720" s="56"/>
    </row>
    <row r="721">
      <c r="A721" s="52"/>
      <c r="B721" s="55"/>
      <c r="C721" s="56"/>
      <c r="D721" s="56"/>
      <c r="E721" s="56"/>
    </row>
    <row r="722">
      <c r="A722" s="52"/>
      <c r="B722" s="55"/>
      <c r="C722" s="56"/>
      <c r="D722" s="56"/>
      <c r="E722" s="56"/>
    </row>
    <row r="723">
      <c r="A723" s="52"/>
      <c r="B723" s="55"/>
      <c r="C723" s="56"/>
      <c r="D723" s="56"/>
      <c r="E723" s="56"/>
    </row>
    <row r="724">
      <c r="A724" s="52"/>
      <c r="B724" s="55"/>
      <c r="C724" s="56"/>
      <c r="D724" s="56"/>
      <c r="E724" s="56"/>
    </row>
    <row r="725">
      <c r="A725" s="52"/>
      <c r="B725" s="55"/>
      <c r="C725" s="56"/>
      <c r="D725" s="56"/>
      <c r="E725" s="56"/>
    </row>
    <row r="726">
      <c r="A726" s="52"/>
      <c r="B726" s="55"/>
      <c r="C726" s="56"/>
      <c r="D726" s="56"/>
      <c r="E726" s="56"/>
    </row>
    <row r="727">
      <c r="A727" s="52"/>
      <c r="B727" s="55"/>
      <c r="C727" s="56"/>
      <c r="D727" s="56"/>
      <c r="E727" s="56"/>
    </row>
    <row r="728">
      <c r="A728" s="52"/>
      <c r="B728" s="55"/>
      <c r="C728" s="56"/>
      <c r="D728" s="56"/>
      <c r="E728" s="56"/>
    </row>
    <row r="729">
      <c r="A729" s="52"/>
      <c r="B729" s="55"/>
      <c r="C729" s="56"/>
      <c r="D729" s="56"/>
      <c r="E729" s="56"/>
    </row>
    <row r="730">
      <c r="A730" s="52"/>
      <c r="B730" s="55"/>
      <c r="C730" s="56"/>
      <c r="D730" s="56"/>
      <c r="E730" s="56"/>
    </row>
    <row r="731">
      <c r="A731" s="52"/>
      <c r="B731" s="55"/>
      <c r="C731" s="56"/>
      <c r="D731" s="56"/>
      <c r="E731" s="56"/>
    </row>
    <row r="732">
      <c r="A732" s="52"/>
      <c r="B732" s="55"/>
      <c r="C732" s="56"/>
      <c r="D732" s="56"/>
      <c r="E732" s="56"/>
    </row>
    <row r="733">
      <c r="A733" s="52"/>
      <c r="B733" s="55"/>
      <c r="C733" s="56"/>
      <c r="D733" s="56"/>
      <c r="E733" s="56"/>
    </row>
    <row r="734">
      <c r="A734" s="52"/>
      <c r="B734" s="55"/>
      <c r="C734" s="56"/>
      <c r="D734" s="56"/>
      <c r="E734" s="56"/>
    </row>
    <row r="735">
      <c r="A735" s="52"/>
      <c r="B735" s="55"/>
      <c r="C735" s="56"/>
      <c r="D735" s="56"/>
      <c r="E735" s="56"/>
    </row>
    <row r="736">
      <c r="A736" s="52"/>
      <c r="B736" s="55"/>
      <c r="C736" s="56"/>
      <c r="D736" s="56"/>
      <c r="E736" s="56"/>
    </row>
    <row r="737">
      <c r="A737" s="52"/>
      <c r="B737" s="55"/>
      <c r="C737" s="56"/>
      <c r="D737" s="56"/>
      <c r="E737" s="56"/>
    </row>
    <row r="738">
      <c r="A738" s="52"/>
      <c r="B738" s="55"/>
      <c r="C738" s="56"/>
      <c r="D738" s="56"/>
      <c r="E738" s="56"/>
    </row>
    <row r="739">
      <c r="A739" s="52"/>
      <c r="B739" s="55"/>
      <c r="C739" s="56"/>
      <c r="D739" s="56"/>
      <c r="E739" s="56"/>
    </row>
    <row r="740">
      <c r="A740" s="52"/>
      <c r="B740" s="55"/>
      <c r="C740" s="56"/>
      <c r="D740" s="56"/>
      <c r="E740" s="56"/>
    </row>
    <row r="741">
      <c r="A741" s="52"/>
      <c r="B741" s="55"/>
      <c r="C741" s="56"/>
      <c r="D741" s="56"/>
      <c r="E741" s="56"/>
    </row>
    <row r="742">
      <c r="A742" s="52"/>
      <c r="B742" s="55"/>
      <c r="C742" s="56"/>
      <c r="D742" s="56"/>
      <c r="E742" s="56"/>
    </row>
    <row r="743">
      <c r="A743" s="52"/>
      <c r="B743" s="55"/>
      <c r="C743" s="56"/>
      <c r="D743" s="56"/>
      <c r="E743" s="56"/>
    </row>
    <row r="744">
      <c r="A744" s="52"/>
      <c r="B744" s="55"/>
      <c r="C744" s="56"/>
      <c r="D744" s="56"/>
      <c r="E744" s="56"/>
    </row>
    <row r="745">
      <c r="A745" s="52"/>
      <c r="B745" s="55"/>
      <c r="C745" s="56"/>
      <c r="D745" s="56"/>
      <c r="E745" s="56"/>
    </row>
    <row r="746">
      <c r="A746" s="52"/>
      <c r="B746" s="55"/>
      <c r="C746" s="56"/>
      <c r="D746" s="56"/>
      <c r="E746" s="56"/>
    </row>
    <row r="747">
      <c r="A747" s="52"/>
      <c r="B747" s="55"/>
      <c r="C747" s="56"/>
      <c r="D747" s="56"/>
      <c r="E747" s="56"/>
    </row>
    <row r="748">
      <c r="A748" s="52"/>
      <c r="B748" s="55"/>
      <c r="C748" s="56"/>
      <c r="D748" s="56"/>
      <c r="E748" s="56"/>
    </row>
    <row r="749">
      <c r="A749" s="52"/>
      <c r="B749" s="55"/>
      <c r="C749" s="56"/>
      <c r="D749" s="56"/>
      <c r="E749" s="56"/>
    </row>
    <row r="750">
      <c r="A750" s="52"/>
      <c r="B750" s="55"/>
      <c r="C750" s="56"/>
      <c r="D750" s="56"/>
      <c r="E750" s="56"/>
    </row>
    <row r="751">
      <c r="A751" s="52"/>
      <c r="B751" s="55"/>
      <c r="C751" s="56"/>
      <c r="D751" s="56"/>
      <c r="E751" s="56"/>
    </row>
    <row r="752">
      <c r="A752" s="52"/>
      <c r="B752" s="55"/>
      <c r="C752" s="56"/>
      <c r="D752" s="56"/>
      <c r="E752" s="56"/>
    </row>
    <row r="753">
      <c r="A753" s="52"/>
      <c r="B753" s="55"/>
      <c r="C753" s="56"/>
      <c r="D753" s="56"/>
      <c r="E753" s="56"/>
    </row>
    <row r="754">
      <c r="A754" s="52"/>
      <c r="B754" s="55"/>
      <c r="C754" s="56"/>
      <c r="D754" s="56"/>
      <c r="E754" s="56"/>
    </row>
    <row r="755">
      <c r="A755" s="52"/>
      <c r="B755" s="55"/>
      <c r="C755" s="56"/>
      <c r="D755" s="56"/>
      <c r="E755" s="56"/>
    </row>
    <row r="756">
      <c r="A756" s="52"/>
      <c r="B756" s="55"/>
      <c r="C756" s="56"/>
      <c r="D756" s="56"/>
      <c r="E756" s="56"/>
    </row>
    <row r="757">
      <c r="A757" s="52"/>
      <c r="B757" s="55"/>
      <c r="C757" s="56"/>
      <c r="D757" s="56"/>
      <c r="E757" s="56"/>
    </row>
    <row r="758">
      <c r="A758" s="52"/>
      <c r="B758" s="55"/>
      <c r="C758" s="56"/>
      <c r="D758" s="56"/>
      <c r="E758" s="56"/>
    </row>
    <row r="759">
      <c r="A759" s="52"/>
      <c r="B759" s="55"/>
      <c r="C759" s="56"/>
      <c r="D759" s="56"/>
      <c r="E759" s="56"/>
    </row>
    <row r="760">
      <c r="A760" s="52"/>
      <c r="B760" s="55"/>
      <c r="C760" s="56"/>
      <c r="D760" s="56"/>
      <c r="E760" s="56"/>
    </row>
    <row r="761">
      <c r="A761" s="52"/>
      <c r="B761" s="55"/>
      <c r="C761" s="56"/>
      <c r="D761" s="56"/>
      <c r="E761" s="56"/>
    </row>
    <row r="762">
      <c r="A762" s="52"/>
      <c r="B762" s="55"/>
      <c r="C762" s="56"/>
      <c r="D762" s="56"/>
      <c r="E762" s="56"/>
    </row>
    <row r="763">
      <c r="A763" s="52"/>
      <c r="B763" s="55"/>
      <c r="C763" s="56"/>
      <c r="D763" s="56"/>
      <c r="E763" s="56"/>
    </row>
    <row r="764">
      <c r="A764" s="52"/>
      <c r="B764" s="55"/>
      <c r="C764" s="56"/>
      <c r="D764" s="56"/>
      <c r="E764" s="56"/>
    </row>
    <row r="765">
      <c r="A765" s="52"/>
      <c r="B765" s="55"/>
      <c r="C765" s="56"/>
      <c r="D765" s="56"/>
      <c r="E765" s="56"/>
    </row>
    <row r="766">
      <c r="A766" s="52"/>
      <c r="B766" s="55"/>
      <c r="C766" s="56"/>
      <c r="D766" s="56"/>
      <c r="E766" s="56"/>
    </row>
    <row r="767">
      <c r="A767" s="52"/>
      <c r="B767" s="55"/>
      <c r="C767" s="56"/>
      <c r="D767" s="56"/>
      <c r="E767" s="56"/>
    </row>
    <row r="768">
      <c r="A768" s="52"/>
      <c r="B768" s="55"/>
      <c r="C768" s="56"/>
      <c r="D768" s="56"/>
      <c r="E768" s="56"/>
    </row>
    <row r="769">
      <c r="A769" s="52"/>
      <c r="B769" s="55"/>
      <c r="C769" s="56"/>
      <c r="D769" s="56"/>
      <c r="E769" s="56"/>
    </row>
    <row r="770">
      <c r="A770" s="52"/>
      <c r="B770" s="55"/>
      <c r="C770" s="56"/>
      <c r="D770" s="56"/>
      <c r="E770" s="56"/>
    </row>
    <row r="771">
      <c r="A771" s="52"/>
      <c r="B771" s="55"/>
      <c r="C771" s="56"/>
      <c r="D771" s="56"/>
      <c r="E771" s="56"/>
    </row>
    <row r="772">
      <c r="A772" s="52"/>
      <c r="B772" s="55"/>
      <c r="C772" s="56"/>
      <c r="D772" s="56"/>
      <c r="E772" s="56"/>
    </row>
    <row r="773">
      <c r="A773" s="52"/>
      <c r="B773" s="55"/>
      <c r="C773" s="56"/>
      <c r="D773" s="56"/>
      <c r="E773" s="56"/>
    </row>
    <row r="774">
      <c r="A774" s="52"/>
      <c r="B774" s="55"/>
      <c r="C774" s="56"/>
      <c r="D774" s="56"/>
      <c r="E774" s="56"/>
    </row>
    <row r="775">
      <c r="A775" s="52"/>
      <c r="B775" s="55"/>
      <c r="C775" s="56"/>
      <c r="D775" s="56"/>
      <c r="E775" s="56"/>
    </row>
    <row r="776">
      <c r="A776" s="52"/>
      <c r="B776" s="55"/>
      <c r="C776" s="56"/>
      <c r="D776" s="56"/>
      <c r="E776" s="56"/>
    </row>
    <row r="777">
      <c r="A777" s="52"/>
      <c r="B777" s="55"/>
      <c r="C777" s="56"/>
      <c r="D777" s="56"/>
      <c r="E777" s="56"/>
    </row>
    <row r="778">
      <c r="A778" s="52"/>
      <c r="B778" s="55"/>
      <c r="C778" s="56"/>
      <c r="D778" s="56"/>
      <c r="E778" s="56"/>
    </row>
    <row r="779">
      <c r="A779" s="52"/>
      <c r="B779" s="55"/>
      <c r="C779" s="56"/>
      <c r="D779" s="56"/>
      <c r="E779" s="56"/>
    </row>
    <row r="780">
      <c r="A780" s="52"/>
      <c r="B780" s="55"/>
      <c r="C780" s="56"/>
      <c r="D780" s="56"/>
      <c r="E780" s="56"/>
    </row>
    <row r="781">
      <c r="A781" s="52"/>
      <c r="B781" s="55"/>
      <c r="C781" s="56"/>
      <c r="D781" s="56"/>
      <c r="E781" s="56"/>
    </row>
    <row r="782">
      <c r="A782" s="52"/>
      <c r="B782" s="55"/>
      <c r="C782" s="56"/>
      <c r="D782" s="56"/>
      <c r="E782" s="56"/>
    </row>
    <row r="783">
      <c r="A783" s="52"/>
      <c r="B783" s="55"/>
      <c r="C783" s="56"/>
      <c r="D783" s="56"/>
      <c r="E783" s="56"/>
    </row>
    <row r="784">
      <c r="A784" s="52"/>
      <c r="B784" s="55"/>
      <c r="C784" s="56"/>
      <c r="D784" s="56"/>
      <c r="E784" s="56"/>
    </row>
    <row r="785">
      <c r="A785" s="52"/>
      <c r="B785" s="55"/>
      <c r="C785" s="56"/>
      <c r="D785" s="56"/>
      <c r="E785" s="56"/>
    </row>
    <row r="786">
      <c r="A786" s="52"/>
      <c r="B786" s="55"/>
      <c r="C786" s="56"/>
      <c r="D786" s="56"/>
      <c r="E786" s="56"/>
    </row>
    <row r="787">
      <c r="A787" s="52"/>
      <c r="B787" s="55"/>
      <c r="C787" s="56"/>
      <c r="D787" s="56"/>
      <c r="E787" s="56"/>
    </row>
    <row r="788">
      <c r="A788" s="52"/>
      <c r="B788" s="55"/>
      <c r="C788" s="56"/>
      <c r="D788" s="56"/>
      <c r="E788" s="56"/>
    </row>
    <row r="789">
      <c r="A789" s="52"/>
      <c r="B789" s="55"/>
      <c r="C789" s="56"/>
      <c r="D789" s="56"/>
      <c r="E789" s="56"/>
    </row>
    <row r="790">
      <c r="A790" s="52"/>
      <c r="B790" s="55"/>
      <c r="C790" s="56"/>
      <c r="D790" s="56"/>
      <c r="E790" s="56"/>
    </row>
    <row r="791">
      <c r="A791" s="52"/>
      <c r="B791" s="55"/>
      <c r="C791" s="56"/>
      <c r="D791" s="56"/>
      <c r="E791" s="56"/>
    </row>
    <row r="792">
      <c r="A792" s="52"/>
      <c r="B792" s="55"/>
      <c r="C792" s="56"/>
      <c r="D792" s="56"/>
      <c r="E792" s="56"/>
    </row>
    <row r="793">
      <c r="A793" s="52"/>
      <c r="B793" s="55"/>
      <c r="C793" s="56"/>
      <c r="D793" s="56"/>
      <c r="E793" s="56"/>
    </row>
    <row r="794">
      <c r="A794" s="52"/>
      <c r="B794" s="55"/>
      <c r="C794" s="56"/>
      <c r="D794" s="56"/>
      <c r="E794" s="56"/>
    </row>
    <row r="795">
      <c r="A795" s="52"/>
      <c r="B795" s="55"/>
      <c r="C795" s="56"/>
      <c r="D795" s="56"/>
      <c r="E795" s="56"/>
    </row>
    <row r="796">
      <c r="A796" s="52"/>
      <c r="B796" s="55"/>
      <c r="C796" s="56"/>
      <c r="D796" s="56"/>
      <c r="E796" s="56"/>
    </row>
    <row r="797">
      <c r="A797" s="52"/>
      <c r="B797" s="55"/>
      <c r="C797" s="56"/>
      <c r="D797" s="56"/>
      <c r="E797" s="56"/>
    </row>
    <row r="798">
      <c r="A798" s="52"/>
      <c r="B798" s="55"/>
      <c r="C798" s="56"/>
      <c r="D798" s="56"/>
      <c r="E798" s="56"/>
    </row>
  </sheetData>
  <conditionalFormatting sqref="F1:I798">
    <cfRule type="containsText" dxfId="0" priority="1" operator="containsText" text="Bear">
      <formula>NOT(ISERROR(SEARCH(("Bear"),(F1))))</formula>
    </cfRule>
  </conditionalFormatting>
  <conditionalFormatting sqref="F1:I798">
    <cfRule type="containsText" dxfId="1" priority="2" operator="containsText" text="Bull">
      <formula>NOT(ISERROR(SEARCH(("Bull"),(F1))))</formula>
    </cfRule>
  </conditionalFormatting>
  <drawing r:id="rId1"/>
</worksheet>
</file>